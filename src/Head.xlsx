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2188" windowHeight="9120" activeTab="3"/>
  </bookViews>
  <sheets>
    <sheet name="index" sheetId="5" r:id="rId1"/>
    <sheet name="&lt;head&gt; Indice" sheetId="18" r:id="rId2"/>
    <sheet name="&lt;head&gt;" sheetId="7" r:id="rId3"/>
    <sheet name="&lt;main&gt;" sheetId="9" r:id="rId4"/>
    <sheet name="&lt;h3&gt;" sheetId="14" r:id="rId5"/>
    <sheet name="&lt;ul&gt;" sheetId="11" r:id="rId6"/>
    <sheet name="script" sheetId="8" r:id="rId7"/>
    <sheet name="sitemap.xml" sheetId="12" r:id="rId8"/>
    <sheet name="Plantillas" sheetId="15" r:id="rId9"/>
    <sheet name="Índice" sheetId="19" r:id="rId10"/>
  </sheets>
  <definedNames>
    <definedName name="Comillas">'&lt;main&gt;'!$I$1</definedName>
    <definedName name="titulo">#REF!</definedName>
    <definedName name="li">'&lt;main&gt;'!$I$2</definedName>
    <definedName name="lis">'&lt;main&gt;'!$I$2</definedName>
    <definedName name="liss">'&lt;main&gt;'!$I$2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<sst xmlns="http://schemas.openxmlformats.org/spreadsheetml/2006/main" count="2614" uniqueCount="541">
  <si>
    <t>Título</t>
  </si>
  <si>
    <t>Ing. Eduardo Herrera Forero.</t>
  </si>
  <si>
    <t xml:space="preserve"> </t>
  </si>
  <si>
    <t>Canonical</t>
  </si>
  <si>
    <t>https://eduardoherreraf.github.io/bootstrap.html</t>
  </si>
  <si>
    <t>Descripción</t>
  </si>
  <si>
    <t>Esta es la Página Web del ingeniero Eduardo Herrera Forero y sus publicaciones.</t>
  </si>
  <si>
    <t>&lt;head&gt;</t>
  </si>
  <si>
    <t>&lt;!-- Metaetiquetas --&gt;</t>
  </si>
  <si>
    <t>&lt;meta charset="utf-8" /&gt;</t>
  </si>
  <si>
    <t>&lt;meta name="viewport" content="width=device-width, initial-scale=1" /&gt;</t>
  </si>
  <si>
    <t>&lt;meta name="description" content="Instalación de Bootstrap V5.3 con NPM y VITE  - Ing. Eduardo Herrera Forero." /&gt;</t>
  </si>
  <si>
    <t>&lt;meta name="description" content="</t>
  </si>
  <si>
    <t>" /&gt;</t>
  </si>
  <si>
    <t>&lt;meta name="author" content="Ing. Eduardo Herrera Forero" /&gt;</t>
  </si>
  <si>
    <t>&lt;meta name="application-name" content="EHF" /&gt;</t>
  </si>
  <si>
    <t>&lt;meta name="robots" content="index, follow" /&gt;</t>
  </si>
  <si>
    <t>&lt;link rel="canonical" href="https://eduardoherreraf.github.io/instalacion_de_bootstrap_v53_con_npm_y_vite.html" /&gt;</t>
  </si>
  <si>
    <t>&lt;link rel="canonical" href="</t>
  </si>
  <si>
    <t>&lt;!-- Fin Metaetiquetas --&gt;</t>
  </si>
  <si>
    <t xml:space="preserve">   </t>
  </si>
  <si>
    <t>&lt;!-- Open Graph data --&gt;</t>
  </si>
  <si>
    <t>&lt;meta property="og:type" content="website" /&gt;</t>
  </si>
  <si>
    <t>&lt;meta property="og:title" content="Instalación de Bootstrap V5.3 con NPM y VITE  - Ing. Eduardo Herrera Forero." /&gt;</t>
  </si>
  <si>
    <t>&lt;meta property="og:title" content="</t>
  </si>
  <si>
    <t>&lt;meta property="og:description" content="Se muestra el proceso de configurar una plantilla HTML con la librería de Bootstrap v5 con el manejador de  paquetes NPM y VITE." /&gt;</t>
  </si>
  <si>
    <t>&lt;meta property="og:description" content="</t>
  </si>
  <si>
    <t>&lt;meta property="og:image" content="https://i.imgur.com/JKbKYrO.png" /&gt;</t>
  </si>
  <si>
    <t>&lt;meta property="og:image:alt" content="Logo del ingeniero Eduardo Herrera Forero"/&gt;</t>
  </si>
  <si>
    <t>&lt;meta property="og:url" content="https://eduardoherreraf.github.io/instalacion_de_bootstrap_v53_con_npm_y_vite.html" /&gt;</t>
  </si>
  <si>
    <t>&lt;meta property="og:url" content="</t>
  </si>
  <si>
    <t>&lt;meta property="og:locale" content="es_CO" /&gt;</t>
  </si>
  <si>
    <t>&lt;!-- fin Open Graph data --&gt;</t>
  </si>
  <si>
    <t xml:space="preserve">  </t>
  </si>
  <si>
    <t>&lt;!-- Twitter cards --&gt;</t>
  </si>
  <si>
    <t>&lt;meta name="twitter:card" content="summary" /&gt;</t>
  </si>
  <si>
    <t>&lt;meta name="twitter:site" content="@ehfeduardo" /&gt;</t>
  </si>
  <si>
    <t>&lt;meta name="twitter:title" content="Instalación de Bootstrap V5.3 con NPM y VITE  - Ing. Eduardo Herrera Forero." /&gt;</t>
  </si>
  <si>
    <t>&lt;meta name="twitter:title" content="</t>
  </si>
  <si>
    <t>&lt;meta name="twitter:description" content="Se muestra el proceso de configurar una plantilla HTML con la librería de Bootstrap v5 con el manejador de  paquetes NPM y VITE." /&gt;</t>
  </si>
  <si>
    <t>&lt;meta name="twitter:description" content="</t>
  </si>
  <si>
    <t>&lt;meta name="twitter:image" content="https://i.imgur.com/JKbKYrO.png" /&gt;</t>
  </si>
  <si>
    <t>&lt;meta name="twitter:image:alt" content="Logo del ingeniero Eduardo Herrera Forero"&gt;</t>
  </si>
  <si>
    <t>&lt;!-- Fin Twitter cards --&gt;</t>
  </si>
  <si>
    <t>&lt;!-- iconos --&gt;</t>
  </si>
  <si>
    <t>&lt;link rel="apple-touch-icon" sizes="180x180" href="apple-touch-icon.png" /&gt;</t>
  </si>
  <si>
    <t>&lt;link rel="icon" type="image/png" sizes="32x32" href="favicon-32x32.png" /&gt;</t>
  </si>
  <si>
    <t>&lt;link rel="icon" type="image/png" sizes="192x192" href="android-chrome-192x192.png"/&gt;</t>
  </si>
  <si>
    <t>&lt;link rel="icon" type="image/png" sizes="16x16" href="favicon-16x16.png" /&gt;</t>
  </si>
  <si>
    <t>&lt;link rel="manifest" href="site.webmanifest" /&gt;</t>
  </si>
  <si>
    <t>&lt;link rel="mask-icon" href="safari-pinned-tab.svg" color="#5bbad5" /&gt;</t>
  </si>
  <si>
    <t>&lt;meta name="msapplication-TileColor" content="#da532c" /&gt;</t>
  </si>
  <si>
    <t>&lt;meta name="theme-color" content="#ffffff" /&gt;</t>
  </si>
  <si>
    <t>&lt;!-- fin iconos --&gt;</t>
  </si>
  <si>
    <t>&lt;title&gt;</t>
  </si>
  <si>
    <t>Instalación de Bootstrap V5.3 con NPM y VITE - Ing. Eduardo Herrera Forero.</t>
  </si>
  <si>
    <t>&lt;/title&gt;</t>
  </si>
  <si>
    <t>&lt;script type="module" defer src="./js/main.js"&gt;&lt;/script&gt;</t>
  </si>
  <si>
    <t>&lt;meta name="google-site-verification" content="2H5ZMCD1_xl7oxaiqnopfdQBnIXVIOfmW0UBSa5sQJc"/&gt;</t>
  </si>
  <si>
    <t>&lt;/head&gt;</t>
  </si>
  <si>
    <t>Índice de HTML - Ing. Eduardo Herrera Forero.</t>
  </si>
  <si>
    <t>html.html</t>
  </si>
  <si>
    <t>https://img12.pixhost.to/images/857/575188671_png-transparent-html5-plain-logo-icon-wbg.png</t>
  </si>
  <si>
    <t>Índice de todos los artículos publicados en este sitio web sobre HTML, que estructura y organiza el contenido de las páginas web</t>
  </si>
  <si>
    <t>&lt;meta name="tittle" content="</t>
  </si>
  <si>
    <t>&lt;meta property="og:image" content="</t>
  </si>
  <si>
    <t>&lt;meta property="og:image:alt" content="</t>
  </si>
  <si>
    <t>"/&gt;</t>
  </si>
  <si>
    <t xml:space="preserve">&lt;meta name="twitter:card" content="summary"&gt; </t>
  </si>
  <si>
    <t>&lt;meta name="twitter:image" content="</t>
  </si>
  <si>
    <t>&lt;meta name="twitter:image:alt" content="</t>
  </si>
  <si>
    <t>"&gt;</t>
  </si>
  <si>
    <t>&lt;meta name="twitter:url" content="</t>
  </si>
  <si>
    <t>Formato de Texto HTML - Ing. Eduardo Herrera Forero.</t>
  </si>
  <si>
    <t>html-07_formato_de_texto.html</t>
  </si>
  <si>
    <t>Imagen</t>
  </si>
  <si>
    <t>https://i.ibb.co/gMnStWkj/formato-de-texto.png</t>
  </si>
  <si>
    <t>Mi estrea argéada</t>
  </si>
  <si>
    <t>https://i.imgur.com/JKbKYrO.png</t>
  </si>
  <si>
    <t>Alt Imagen</t>
  </si>
  <si>
    <t>Analogía de etiquetas de formato de texto HTML con la vida real.</t>
  </si>
  <si>
    <t>Guía de etiquetas HTML para dar formato y estilo al texto en tu web.</t>
  </si>
  <si>
    <t>Comillas</t>
  </si>
  <si>
    <t>"</t>
  </si>
  <si>
    <t>&lt;!--  Principal  --&gt;</t>
  </si>
  <si>
    <r>
      <rPr>
        <sz val="10.5"/>
        <color rgb="FF808080"/>
        <rFont val="Consolas"/>
        <charset val="134"/>
      </rPr>
      <t>&lt;</t>
    </r>
    <r>
      <rPr>
        <sz val="10.5"/>
        <color rgb="FF569CD6"/>
        <rFont val="Consolas"/>
        <charset val="134"/>
      </rPr>
      <t>li</t>
    </r>
    <r>
      <rPr>
        <sz val="10.5"/>
        <color rgb="FFCCCCCC"/>
        <rFont val="Consolas"/>
        <charset val="134"/>
      </rPr>
      <t xml:space="preserve"> </t>
    </r>
    <r>
      <rPr>
        <sz val="10.5"/>
        <color rgb="FF9CDCFE"/>
        <rFont val="Consolas"/>
        <charset val="134"/>
      </rPr>
      <t>class</t>
    </r>
    <r>
      <rPr>
        <sz val="10.5"/>
        <color rgb="FFCCCCCC"/>
        <rFont val="Consolas"/>
        <charset val="134"/>
      </rPr>
      <t>=</t>
    </r>
    <r>
      <rPr>
        <sz val="10.5"/>
        <color rgb="FFCE9178"/>
        <rFont val="Consolas"/>
        <charset val="134"/>
      </rPr>
      <t>"list-group-item"</t>
    </r>
    <r>
      <rPr>
        <sz val="10.5"/>
        <color rgb="FF808080"/>
        <rFont val="Consolas"/>
        <charset val="134"/>
      </rPr>
      <t>&gt;</t>
    </r>
  </si>
  <si>
    <t>&lt;div class="row col mx-1"&gt;</t>
  </si>
  <si>
    <t>&lt;main class="pt-4 col-lg-9"&gt;</t>
  </si>
  <si>
    <t>&lt;section class="pb-3"&gt;</t>
  </si>
  <si>
    <t>&lt;article class="row pb-3 border-bottom border-1" data-bs-spy="scroll" data-bs-target="#list-example" data-bs-smooth-scroll="true" &gt;</t>
  </si>
  <si>
    <t>&lt;div&gt;</t>
  </si>
  <si>
    <t>titulo 1</t>
  </si>
  <si>
    <t/>
  </si>
  <si>
    <t>Area de trabajo 0</t>
  </si>
  <si>
    <t>Introducción</t>
  </si>
  <si>
    <t>areaDeTrabajo0</t>
  </si>
  <si>
    <t>introduccion</t>
  </si>
  <si>
    <t>class="mt-5 pt-5 "&gt;</t>
  </si>
  <si>
    <t>Parrafo 1</t>
  </si>
  <si>
    <t>En el fascinante mundo del desarrollo web, dar estilo y estructura al texto es fundamental para crear páginas atractivas y fáciles de leer. Hoy, se invita a los lectores a sumergirse en el poder de HTML, el lenguaje esencial para la web. Se descubrirán las etiquetas clave que permiten formatear el texto. Desde negritas y cursivas hasta el tamaño y la organización, el objetivo es transformar las palabras en contenido visualmente impactante.</t>
  </si>
  <si>
    <t>Parrafo 2</t>
  </si>
  <si>
    <t>&lt;div class="text-center imagen"&gt;</t>
  </si>
  <si>
    <t>&lt;picture&gt;</t>
  </si>
  <si>
    <t>&lt;img</t>
  </si>
  <si>
    <t>class="img-fluid"</t>
  </si>
  <si>
    <t>width="50%"</t>
  </si>
  <si>
    <t>: &lt;b&gt;, &lt;strong&gt;, &lt;em&gt;, &lt;i&gt;,...</t>
  </si>
  <si>
    <t>/&gt;</t>
  </si>
  <si>
    <t>Estructura básica de un documento HTML5 utilizando elementos semánticos.</t>
  </si>
  <si>
    <t>Ejemplo de Etiquetas de Texto HTML</t>
  </si>
  <si>
    <t>&lt;/picture&gt;</t>
  </si>
  <si>
    <t>&lt;ul&gt;
&lt;li&gt;&lt;mark&gt; (Sombrero amarillo): Imagina que el sombrero amarillo es algo que quieres "resaltar" o "marcar" como importante, como si lo subrayaras con un marcador fluorescente. En HTML, la etiqueta &lt;mark&gt; se usa para resaltar texto con un color de fondo, como un marcador. Es útil para llamar la atención sobre una parte específica de una frase.&lt;/li&gt;
&lt;li&gt;&lt;em&gt; (Boina marrón): La boina está sobre una prenda de ropa. La etiqueta &lt;em&gt; significa "énfasis" (de emphasis). Se usa para dar énfasis a una palabra o frase, generalmente mostrándola en cursiva. Es como cuando cambias el tono de voz para enfatizar algo que dices.&lt;/li&gt;
&lt;li&gt;&lt;strong&gt; (Chaqueta amarilla del hombre): La chaqueta amarilla que se está probando el hombre es muy llamativa y destaca. La etiqueta &lt;strong&gt; se usa para indicar que un texto tiene gran importancia o relevancia, y por defecto, los navegadores lo muestran en negrita. Es como cuando usas mayúsculas o gritas una palabra para que quede claro que es lo más importante.&lt;/li&gt;
&lt;li&gt;&lt;del&gt; (Camiseta naranja): La camiseta naranja ya no es útil o se quisieras "desechar". La etiqueta &lt;del&gt; (de delete) se usa para indicar que un texto ha sido eliminado o ya no es válido, mostrándolo por defecto con una línea que lo tacha. Es útil cuando quieres mostrar un cambio, por ejemplo, un precio anterior que ha sido reemplazado por uno nuevo.&lt;/li&gt;
&lt;li&gt;&lt;u&gt; (Corbata): La corbata está "subrayada" por su posición. La etiqueta &lt;u&gt; (de underline) se usa para subrayar texto. Aunque en la web es menos común usarla para subrayar por sí sola (ya que a menudo el subrayado indica un enlace), todavía puede usarse para propósitos estilísticos donde el significado de subrayado es relevante.&lt;/li&gt;
&lt;/ul&gt;</t>
  </si>
  <si>
    <t>&lt;/div&gt;</t>
  </si>
  <si>
    <t>Etiquetas HTML &lt;b&gt; Negrita y &lt;strong&gt; Importante</t>
  </si>
  <si>
    <t>class="mt-5"&gt;</t>
  </si>
  <si>
    <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t>
  </si>
  <si>
    <t>li</t>
  </si>
  <si>
    <t>Etiquetas HTML &lt;i&gt; Itálica y &lt;em&gt; Enfásis</t>
  </si>
  <si>
    <t>Etiqueta HTML &lt;mark&gt; Resaltado</t>
  </si>
  <si>
    <t>Etiqueta HTML &lt;small&gt; Pequeño</t>
  </si>
  <si>
    <t>Etiquetas HTML &lt;del&gt; Borrado y &lt;ins&gt; Insertado</t>
  </si>
  <si>
    <t>Etiquetas HTML &lt;sup&gt; Superíndice y &lt;sub&gt; Subríndice</t>
  </si>
  <si>
    <t>&lt;/article&gt;</t>
  </si>
  <si>
    <t>&lt;!-- Comentarios --&gt;</t>
  </si>
  <si>
    <t>&lt;article class="row pt-5" id="comment"&gt;</t>
  </si>
  <si>
    <t xml:space="preserve">          &lt;h2&gt;COMENTARIOS&lt;/h2&gt;</t>
  </si>
  <si>
    <t xml:space="preserve">          &lt;p&gt;Si tiene alguna inquietud, duda o ha encontrado algún error, por favor infórmelo a través del formulario disponible para este propósito.&lt;/p&gt;</t>
  </si>
  <si>
    <t xml:space="preserve">          &lt;div class="d-flex justify-content-center"&gt;</t>
  </si>
  <si>
    <t xml:space="preserve">          &lt;form action="https://formsubmit.co/herreraforeroeduardo@gmail.com" method="POST" id="myForm"&gt;</t>
  </si>
  <si>
    <t xml:space="preserve">              &lt;div class="input-group d-flex justify-content-center flex-column"&gt;</t>
  </si>
  <si>
    <t xml:space="preserve">                &lt;label for="name" class="pe-2"&gt;Nombre:&lt;/label&gt;</t>
  </si>
  <si>
    <t xml:space="preserve">                &lt;input type="text" name="name" id="name" placeholder="Eduardo Herrera Forero" class="rounded" required="required" /&gt;</t>
  </si>
  <si>
    <t xml:space="preserve">                &lt;label for="email" class="pe-2"&gt;Email:&lt;/label&gt;</t>
  </si>
  <si>
    <t xml:space="preserve">                &lt;input type="email" name="email" id="email" placeholder="herreraforeroeduardo@gmail.com" class="rounded" required="required" /&gt;</t>
  </si>
  <si>
    <t xml:space="preserve">                &lt;label for="message" class="pe-2"&gt;Mensaje:&lt;/label&gt;</t>
  </si>
  <si>
    <t xml:space="preserve">                &lt;textarea name="message" id="message" cols="30" rows="5" placeholder="Su comentario..." class="rounded rounded-3"&gt;&lt;/textarea&gt;</t>
  </si>
  <si>
    <t xml:space="preserve">                &lt;input class="btn btn-outline-light my-3 border rounded-pill border-2" type="submit" value="Enviar..." /&gt;</t>
  </si>
  <si>
    <t xml:space="preserve">              &lt;/div&gt;</t>
  </si>
  <si>
    <t xml:space="preserve">              &lt;p&gt;La política de privacidad, y los términos y condiciones están disponibles en el formulario de contacto.&lt;/p&gt;</t>
  </si>
  <si>
    <t xml:space="preserve">            &lt;/form&gt;</t>
  </si>
  <si>
    <t xml:space="preserve">          &lt;/div&gt;</t>
  </si>
  <si>
    <t xml:space="preserve">        &lt;/article&gt;</t>
  </si>
  <si>
    <t xml:space="preserve">        &lt;!-- Comentarios fin --&gt;</t>
  </si>
  <si>
    <t>&lt;/section&gt;</t>
  </si>
  <si>
    <t>&lt;/main&gt;</t>
  </si>
  <si>
    <t>&lt;!-- -------------------------------- fin principal -------------------------------- --&gt;</t>
  </si>
  <si>
    <t>&lt;!-- -------------------------------- barra lateral -------------------------------- --&gt;</t>
  </si>
  <si>
    <t>&lt;aside class="col-lg-3 d-none d-lg-block pt-5"&gt;</t>
  </si>
  <si>
    <t>&lt;h1 class="h3"&gt;En Este Artículo&lt;/h1&gt;</t>
  </si>
  <si>
    <t>&lt;div class="barra-lateral"&gt;</t>
  </si>
  <si>
    <t>&lt;ul class="list-group"&gt;</t>
  </si>
  <si>
    <t>&lt;li class="list-group-item"&gt;</t>
  </si>
  <si>
    <t>&lt;a href="#comment"&gt;Comentarios&lt;/a&gt;</t>
  </si>
  <si>
    <t>&lt;/li&gt;</t>
  </si>
  <si>
    <t>&lt;/ul&gt;</t>
  </si>
  <si>
    <t>&lt;/aside&gt;</t>
  </si>
  <si>
    <t>&lt;!-- -------------------------------- fin barra lateral -------------------------------- --&gt;</t>
  </si>
  <si>
    <t>&lt;!--  Principal Fin  --&gt;</t>
  </si>
  <si>
    <t>h3</t>
  </si>
  <si>
    <t>h4</t>
  </si>
  <si>
    <t>h5</t>
  </si>
  <si>
    <t>Definición</t>
  </si>
  <si>
    <t xml:space="preserve">Título 1 </t>
  </si>
  <si>
    <t>Agregando Roles ARIA</t>
  </si>
  <si>
    <t>Sintaxis Básica &lt;nav&gt;</t>
  </si>
  <si>
    <t>Fragmento en Línea &lt;span&gt;</t>
  </si>
  <si>
    <t>id</t>
  </si>
  <si>
    <r>
      <rPr>
        <sz val="11"/>
        <color theme="1"/>
        <rFont val="Aptos Narrow"/>
        <charset val="134"/>
        <scheme val="minor"/>
      </rPr>
      <t>&lt;</t>
    </r>
    <r>
      <rPr>
        <sz val="10.5"/>
        <color rgb="FF569CD6"/>
        <rFont val="Consolas"/>
        <charset val="134"/>
      </rPr>
      <t>div</t>
    </r>
    <r>
      <rPr>
        <sz val="10.5"/>
        <color rgb="FFCCCCCC"/>
        <rFont val="Consolas"/>
        <charset val="134"/>
      </rPr>
      <t xml:space="preserve"> </t>
    </r>
  </si>
  <si>
    <t>&gt;</t>
  </si>
  <si>
    <t>definición</t>
  </si>
  <si>
    <t>Características clave</t>
  </si>
  <si>
    <t>content</t>
  </si>
  <si>
    <t>Sintaxis Correcta</t>
  </si>
  <si>
    <t>Uso</t>
  </si>
  <si>
    <t>Relación con Otras Etiquetas</t>
  </si>
  <si>
    <t>Buenas Prácticas y Errores Comunes</t>
  </si>
  <si>
    <t>Características</t>
  </si>
  <si>
    <t>Título 2</t>
  </si>
  <si>
    <t>Etiquetas ARIA para Accesibilidad</t>
  </si>
  <si>
    <t>Sintaxis con Etiquetas Semánticas &lt;nav&gt;</t>
  </si>
  <si>
    <t>Configuración CSS por Defecto</t>
  </si>
  <si>
    <t>Ejemplo Aplicado en un Proyecto Real</t>
  </si>
  <si>
    <t>Uso con Tecnologías de Asistencia (ARIA)</t>
  </si>
  <si>
    <t>Título 3</t>
  </si>
  <si>
    <t>Marcadores de Región con ARIA</t>
  </si>
  <si>
    <t>Ejemplo con Submenús &lt;nav&gt;</t>
  </si>
  <si>
    <t>Título 4</t>
  </si>
  <si>
    <t>Mejores Prácticas ARIA con &lt;div&gt;</t>
  </si>
  <si>
    <t>Cuándo Usar ARIA en &lt;nav&gt;</t>
  </si>
  <si>
    <t>Título 5</t>
  </si>
  <si>
    <t xml:space="preserve"> ARIA Recomendado para &lt;aside&gt;</t>
  </si>
  <si>
    <t>Título 6</t>
  </si>
  <si>
    <t>Mejores Prácticas con ARIA con &lt;time&gt;</t>
  </si>
  <si>
    <t>ff</t>
  </si>
  <si>
    <t>Título 10</t>
  </si>
  <si>
    <t>Título 11</t>
  </si>
  <si>
    <t>Título 12</t>
  </si>
  <si>
    <t>Título 13</t>
  </si>
  <si>
    <t>Título 14</t>
  </si>
  <si>
    <t>Título 15</t>
  </si>
  <si>
    <t>Título 16</t>
  </si>
  <si>
    <t>Título 17</t>
  </si>
  <si>
    <t>Título 18</t>
  </si>
  <si>
    <t>Título 19</t>
  </si>
  <si>
    <t>Título 20</t>
  </si>
  <si>
    <t>Título 21</t>
  </si>
  <si>
    <t>Título 22</t>
  </si>
  <si>
    <t>&lt;li&gt;&lt;strong&gt;a&lt;/strong&gt;: e&lt;/li&gt;</t>
  </si>
  <si>
    <t>&lt;ul&gt;</t>
  </si>
  <si>
    <t>Aplicación de estilos: Cambiar el color, tamaño, fuente, o añadir efectos como subrayados a partes específicas del texto. Por ejemplo:</t>
  </si>
  <si>
    <t>Manipulación con JavaScript: Agrupar contenido para seleccionarlo y modificarlo dinámicamente, como cambiar texto o añadir eventos:</t>
  </si>
  <si>
    <t>Agrupación semántica: Aunque no es semántico, puede usarse para agrupar contenido relacionado cuando no hay otra etiqueta más adecuada, como en accesibilidad con ARIA.</t>
  </si>
  <si>
    <t>&lt;li&gt;&lt;b&gt;k&lt;/b&gt;: 2&lt;/li&gt;</t>
  </si>
  <si>
    <t>Usar aria-label para una lectura clara: Algunos lectores de pantalla pueden no interpretar correctamente el formato de fecha u hora. Se puede usar aria-label para proporcionar una lectura más clara.</t>
  </si>
  <si>
    <t>Indicar la duración de eventos con aria-live: Si el tiempo cambia dinámicamente (por ejemplo, un temporizador), se recomienda usar aria-live para notificar el cambio.</t>
  </si>
  <si>
    <t>Marcar fechas importantes con role="presentation" cuando sea necesario: Si &lt;time&gt; se usa solo con fines visuales y no aporta valor semántico, se puede agregar role="presentation" para evitar que los lectores de pantalla lo procesen innecesariamente.</t>
  </si>
  <si>
    <t>&lt;li&gt;q&lt;/li&gt;</t>
  </si>
  <si>
    <t>&lt;mark&gt; (Sombrero amarillo): Imagina que el sombrero amarillo es algo que quieres "resaltar" o "marcar" como importante, como si lo subrayaras con un marcador fluorescente. En HTML, la etiqueta &lt;mark&gt; se usa para resaltar texto con un color de fondo, como un marcador. Es útil para llamar la atención sobre una parte específica de una frase.</t>
  </si>
  <si>
    <t>&lt;em&gt; (Boina marrón): La boina está sobre una prenda de ropa. La etiqueta &lt;em&gt; significa "énfasis" (de emphasis). Se usa para dar énfasis a una palabra o frase, generalmente mostrándola en cursiva. Es como cuando cambias el tono de voz para enfatizar algo que dices.</t>
  </si>
  <si>
    <t>&lt;strong&gt; (Chaqueta amarilla del hombre): La chaqueta amarilla que se está probando el hombre es muy llamativa y destaca. La etiqueta &lt;strong&gt; se usa para indicar que un texto tiene gran importancia o relevancia, y por defecto, los navegadores lo muestran en negrita. Es como cuando usas mayúsculas o gritas una palabra para que quede claro que es lo más importante.</t>
  </si>
  <si>
    <t>&lt;del&gt; (Camiseta naranja): La camiseta naranja ya no es útil o se quisieras "desechar". La etiqueta &lt;del&gt; (de delete) se usa para indicar que un texto ha sido eliminado o ya no es válido, mostrándolo por defecto con una línea que lo tacha. Es útil cuando quieres mostrar un cambio, por ejemplo, un precio anterior que ha sido reemplazado por uno nuevo.</t>
  </si>
  <si>
    <t>&lt;u&gt; (Corbata): La corbata está "subrayada" por su posición. La etiqueta &lt;u&gt; (de underline) se usa para subrayar texto. Aunque en la web es menos común usarla para subrayar por sí sola (ya que a menudo el subrayado indica un enlace), todavía puede usarse para propósitos estilísticos donde el significado de subrayado es relevante.</t>
  </si>
  <si>
    <t>&lt;li&gt;&lt;code&gt;&amp;lt;p&lt;/code&gt;: h.&lt;/li&gt;</t>
  </si>
  <si>
    <t>Es un elemento en línea, por lo tanto no inicia una nueva línea.</t>
  </si>
  <si>
    <t>No tiene estilo visual propio por defecto.</t>
  </si>
  <si>
    <t>Se usa comúnmente con atributos como class, id, y style para aplicar estilos o comportamientos.</t>
  </si>
  <si>
    <t>No tiene un significado semántico específico (es decir, no describe el contenido que contiene).</t>
  </si>
  <si>
    <t>Es ligero y versátil, ideal para personalizar partes pequeñas del contenido, como una palabra o frase.</t>
  </si>
  <si>
    <t>La flexibilidad del elemento &lt;span&gt; se manifiesta en su capacidad para contener diversos tipos de contenido (texto plano, otros elementos inline como &lt;strong&gt;, &lt;em&gt;, &lt;a&gt;, pequeñas imágenes, iconos, y prácticamente cualquier elemento que no sea de tipo bloque).</t>
  </si>
  <si>
    <t>&lt;li&gt;Errores comunes:&lt;ul&gt;</t>
  </si>
  <si>
    <t>Uso excesivo: Aplicar &lt;mark&gt; a demasiadas palabras puede dificultar la lectura y perder su propósito.</t>
  </si>
  <si>
    <t>Uso incorrecto para negritas o énfasis: No debe sustituir &lt;strong&gt; o &lt;em&gt;, ya que su función es diferente.</t>
  </si>
  <si>
    <t>Falta de contraste: Se debe verificar que el color de resaltado tenga suficiente contraste con el fondo para garantizar la accesibilidad.</t>
  </si>
  <si>
    <t>Uso fuera de contexto: No se recomienda su uso en elementos de navegación o títulos donde el énfasis semántico no sea necesario.</t>
  </si>
  <si>
    <t>&lt;/li&gt;&lt;/ul&gt;</t>
  </si>
  <si>
    <t>&lt;li&gt;&lt;b&gt;&amp;lt;f&gt;&lt;/b&gt;:&lt;/li&gt;</t>
  </si>
  <si>
    <t>&amp;lt;header&gt;: Representa la cabecera de la página.</t>
  </si>
  <si>
    <t>&amp;lt;nav&gt;: Define la navegación principal.</t>
  </si>
  <si>
    <t>&amp;lt;main&gt;: Contiene el contenido principal del sitio.</t>
  </si>
  <si>
    <t>&amp;lt;section&gt;: Agrupa contenido temáticamente relacionado.</t>
  </si>
  <si>
    <t>&amp;lt;article&gt;: Representa artículos o unidades de contenido independientes.</t>
  </si>
  <si>
    <t>&amp;lt;figure&gt;: Agrupa contenido multimedia, como imágenes.</t>
  </si>
  <si>
    <t>&amp;lt;figcaption&gt;: Proporciona una descripción para la figura.</t>
  </si>
  <si>
    <t>&amp;lt;time&gt;: Representa una fecha o una hora específica.</t>
  </si>
  <si>
    <t>&amp;lt;mark&gt;: Resalta texto importante sin alterar la semántica.</t>
  </si>
  <si>
    <t>&amp;lt;aside&gt;: Contiene contenido complementario o relacionado.</t>
  </si>
  <si>
    <t>&amp;lt;dialog&gt;: Representa un cuadro de diálogo interactivo.</t>
  </si>
  <si>
    <t>&lt;b&gt;Errores comunes:&lt;/b&gt;</t>
  </si>
  <si>
    <t>El elemento &lt;span&gt; se define como un contenedor genérico en línea que abarca y agrupa contenido sin aportar significado semántico específico al documento. La etimología del término "span" proviene del inglés "abarcar" o "extenderse", lo que refleja perfectamente su función de envolver y delimitar porciones de contenido para su posterior manipulación. A diferencia de elementos estructurales como &lt;div&gt; que operan a nivel de bloque, &lt;span&gt; funciona exclusivamente como elemento en línea, integrado dentro del flujo textual sin generar saltos de línea antes o después de su contenido.</t>
  </si>
  <si>
    <t>La naturaleza inline del elemento &lt;span&gt; significa que se comporta como texto normal dentro del documento, permitiendo que múltiples elementos span coexistan en la misma línea sin interrumpir la continuidad visual del contenido. Esta característica lo convierte en la herramienta ideal para aplicar cambios de formato a palabras específicas, frases cortas o cualquier fragmento de texto que requiera tratamiento diferenciado sin alterar la estructura general del párrafo o elemento contenedor.</t>
  </si>
  <si>
    <t>El elemento &lt;span&gt; se clasifica como un elemento especial dentro de la especificación HTML, lo que significa que puede contener tanto texto como otros elementos en línea, proporcionando flexibilidad para crear estructuras de contenido complejas. Su versatilidad se extiende a la capacidad de anidar otros elementos span, crear combinaciones con elementos de formato semántico y servir como contenedor para elementos multimedia pequeños como iconos o imágenes inline.</t>
  </si>
  <si>
    <t>&lt;script&gt;let tema = localStorage.getItem("theme") || "dark";window.onload = function () {if (tema === "dark") temaOscuro();if (tema === "light") temaClaro();};const cambiarTema = () =&gt; {const temaActual = localStorage.getItem("theme") || "dark";if (temaActual === "dark") {temaClaro();} else{temaOscuro();}};const temaOscuro = () =&gt; {document.querySelector("body").setAttribute("data-bs-theme", "dark");document.querySelector("#dl-icon").setAttribute("class","btn text-center d-flex bg-body-tertiary text-light");localStorage.setItem("theme", "dark");};const temaClaro = () =&gt; {document.querySelector("body").setAttribute("data-bs-theme", "light");document.querySelector("#dl-icon").setAttribute("class", "btn text-center d-flex bg-light text-dark");localStorage.setItem("theme", "light");};&lt;/script&gt;&lt;/html&gt;</t>
  </si>
  <si>
    <t>Fecha</t>
  </si>
  <si>
    <t>2025-05-20T09:25:57-05:00</t>
  </si>
  <si>
    <t>&lt;?xml version='1.0' encoding='UTF-8'?&gt;</t>
  </si>
  <si>
    <t>&lt;urlset xmlns='https://www.sitemaps.org/schemas/sitemap/0.9' xmlns:xhtml='https://www.w3.org/1999/xhtml'&gt;</t>
  </si>
  <si>
    <t>&lt;url&gt;</t>
  </si>
  <si>
    <t>https://eduardoherreraf.github.io/</t>
  </si>
  <si>
    <t>yearly</t>
  </si>
  <si>
    <t>&lt;/url&gt;</t>
  </si>
  <si>
    <t>&lt;!-- Páginas Índice --&gt;</t>
  </si>
  <si>
    <t>bootstrap.html</t>
  </si>
  <si>
    <t>0.7</t>
  </si>
  <si>
    <t>git.html</t>
  </si>
  <si>
    <t>javascript.html</t>
  </si>
  <si>
    <t>photoshop.html</t>
  </si>
  <si>
    <t>otrosTemas.html</t>
  </si>
  <si>
    <t>cursoPython3.html</t>
  </si>
  <si>
    <t>monthly</t>
  </si>
  <si>
    <t>chatgpt</t>
  </si>
  <si>
    <t>&lt;!-- Bootstrap --&gt;</t>
  </si>
  <si>
    <t>bootstrap-instalacion_de_bootstrap_v5_con_npm_y_parcel.html</t>
  </si>
  <si>
    <t>0.6</t>
  </si>
  <si>
    <t>bootstrap-instalacion_de_bootstrap_v5_con_npm_y_vite.html</t>
  </si>
  <si>
    <t>&lt;!-- Git / Github --&gt;</t>
  </si>
  <si>
    <t>git-01_como_eliminar_el_ultimo_commit_de_git.html</t>
  </si>
  <si>
    <t>git-02_comandos_basicos_de_consola-terminal_cli_para_windows.html</t>
  </si>
  <si>
    <t>git-03_introduccion_de_git_para_windows.html</t>
  </si>
  <si>
    <t>git-04_configuracion_inicial_git.html</t>
  </si>
  <si>
    <t>git-05_reiniciar_repositorio_en_git-github.html</t>
  </si>
  <si>
    <t>&lt;!-- Javascript --&gt;</t>
  </si>
  <si>
    <t>javascript-como_ejecutar_un_codigo_javascript.html</t>
  </si>
  <si>
    <t>javascript-configurar_el_entorno_de_trabajo_javascript.html</t>
  </si>
  <si>
    <t>a</t>
  </si>
  <si>
    <t>&lt;!-- Photoshop --&gt;</t>
  </si>
  <si>
    <t>photoshop-16_metadatos_y_exportacion.html</t>
  </si>
  <si>
    <t>photoshop-15_filtros_licuar.html</t>
  </si>
  <si>
    <t>photoshop-14_filtros_neurales.html</t>
  </si>
  <si>
    <t>photoshop-13_filtros.html</t>
  </si>
  <si>
    <t>photoshop-12_formas_y_capas.html</t>
  </si>
  <si>
    <t>photoshop-11_textos.html</t>
  </si>
  <si>
    <t>photoshop-10_color_y_degradados.html</t>
  </si>
  <si>
    <t>photoshop-09_uso_de_pinceles.html</t>
  </si>
  <si>
    <t>photoshop-08_agregar_y_quitar_objetos.html</t>
  </si>
  <si>
    <t>photoshop-07_herramientas_de_seleccion.html</t>
  </si>
  <si>
    <t>photoshop-06_ajuste_tono_brillo_y_saturacion.html</t>
  </si>
  <si>
    <t>photoshop-05_trabajo_con_capas.html</t>
  </si>
  <si>
    <t>photoshop-04_ajuste_lienzo_resolucion.html</t>
  </si>
  <si>
    <t>photoshop-03_compartir_y_editar_archivos.html</t>
  </si>
  <si>
    <t>photoshop-02_interfaz_y_area_de_trabajo.html</t>
  </si>
  <si>
    <t>photoshop-01_comenzando_un_proyecto.html</t>
  </si>
  <si>
    <t>&lt;!-- ChatGPT --&gt;</t>
  </si>
  <si>
    <t>chatgpt-01_como_aprender_cualquier_habilidad_facilmente_con_chatgpt.html</t>
  </si>
  <si>
    <t>&lt;!-- Otros Temas --&gt;</t>
  </si>
  <si>
    <t>otrosTemas-01_como_borrar_la_cache_y_archivos_basura_en_windows.html</t>
  </si>
  <si>
    <t>&lt;!-- Python --&gt;</t>
  </si>
  <si>
    <t>cursoPython3-0101_introduccion.html</t>
  </si>
  <si>
    <t>cursoPython3-0102_instalacion_de_python_localmente.html</t>
  </si>
  <si>
    <t>cursoPython3-0201_funcion_print.html</t>
  </si>
  <si>
    <t>cursoPython3-0202_literales.html</t>
  </si>
  <si>
    <t>cursoPython3-0203_operadores.html</t>
  </si>
  <si>
    <t>cursoPython3-0204_variables.html</t>
  </si>
  <si>
    <t>cursoPython3-0205_comentarios.html</t>
  </si>
  <si>
    <t>cursoPython3-0206_interaccion_con_el_usuario.html</t>
  </si>
  <si>
    <t>cursoPython3-0301_operadores_de_comparacion_y_logicos_en_python.html</t>
  </si>
  <si>
    <t>cursoPython3-0302_sentencia_if_de_control_de_flujo.html</t>
  </si>
  <si>
    <t>cursoPython3-0303_bucles_en_python_una_guia_completa.html</t>
  </si>
  <si>
    <t>cursoPython3-0304_operadores_logicos_y_operaciones_bit_a_bit_en_python.html</t>
  </si>
  <si>
    <t>cursoPython3-0305_listas.html</t>
  </si>
  <si>
    <t>cursoPython3-0306_ordenamiento_de_listas_metodo_burbuja.html</t>
  </si>
  <si>
    <t>cursoPython3-0307_operaciones_con_listas.html</t>
  </si>
  <si>
    <t>cursoPython3-0401_introduccion_funciones.html</t>
  </si>
  <si>
    <t>cursoPython3-0402_como_las_funciones_se_comunican_con_su_entorno.html</t>
  </si>
  <si>
    <t>cursoPython3-0403_retorno_de_valores_en_funciones.html</t>
  </si>
  <si>
    <t>cursoPython3-0404_el_alcance_de_las_variables.html</t>
  </si>
  <si>
    <t>cursoPython3-0405_tuplas_y_diccionarios.html</t>
  </si>
  <si>
    <t>cursoPython3-0501_introduccion_a_los_modulos.html</t>
  </si>
  <si>
    <t>cursoPython3-0502_importacion_de_modulos.html</t>
  </si>
  <si>
    <t>cursoPython3-0503_modulos_especializados_de_python-matematico_aleatorio_y_de_sistema.html</t>
  </si>
  <si>
    <t>cursoPython3-0504_modulos_y_paquetes.html</t>
  </si>
  <si>
    <t>cursoPython3-0505_instalador_de_paquetes-pip.html</t>
  </si>
  <si>
    <t>cursoPython3-0601_la_naturaleza_de_las_cadenas.html</t>
  </si>
  <si>
    <t>cursoPython3-0602_errores-el_pan_diario_del_programador.html</t>
  </si>
  <si>
    <t>cursoPython3-0701_los_fundamentos_de_la_poo.html</t>
  </si>
  <si>
    <t>cursoPython3-0702_comparando_paradigmas_programacion_procedimental_y_orientada_a_objetos.html</t>
  </si>
  <si>
    <t>cursoPython3-0703_poo_propiedades.html</t>
  </si>
  <si>
    <t>cursoPython3-0704_poo_metodos.html</t>
  </si>
  <si>
    <t>cursoPython3-0705_poo_herencia.html</t>
  </si>
  <si>
    <t>cursoPython3-0706_poo_excepciones.html</t>
  </si>
  <si>
    <t>cursoPython3-0801_iteradores,_generadores_y_cierres.html</t>
  </si>
  <si>
    <t>cursoPython3-0802_manejo_de_archivos.html</t>
  </si>
  <si>
    <t>cursoPython3-0803_el_modulo_os_interactuando_con_el_sistema_operativo.html</t>
  </si>
  <si>
    <t>cursoPython3-0804_modulo_datetime_funciones_para_manejo_de_la_hora_y_la_fecha.html</t>
  </si>
  <si>
    <t>cursoPython3-0805_modulo_calendar_trabajando_con_funciones_relacionadas_con_el_calendario.html</t>
  </si>
  <si>
    <t>&lt;!-- HTML --&gt;</t>
  </si>
  <si>
    <t>html-01_introduccion_html.html</t>
  </si>
  <si>
    <t>html-02_estructura_del_documento_html.html</t>
  </si>
  <si>
    <t>html-03_encabezado_html.html</t>
  </si>
  <si>
    <t>html-04_cuerpo_html.html</t>
  </si>
  <si>
    <t>html-06_Etiquetas_de_texto.html</t>
  </si>
  <si>
    <t>&lt;/urlset&gt;</t>
  </si>
  <si>
    <t>formulas</t>
  </si>
  <si>
    <t>imagenes</t>
  </si>
  <si>
    <t>to top</t>
  </si>
  <si>
    <t xml:space="preserve">            &lt;!-- Go to top --&gt;</t>
  </si>
  <si>
    <t>&lt;pre class="line-numbers" data-src-status="loaded" tabindex="0"&gt;</t>
  </si>
  <si>
    <t xml:space="preserve">            &lt;div class="text-center mt-5"&gt;</t>
  </si>
  <si>
    <t xml:space="preserve">    &lt;code class="language-python" data-prismjs-copy="Copy"&gt;</t>
  </si>
  <si>
    <t xml:space="preserve">              &lt;a href="#" id="myBtnScroll2" title="Go to top"&gt;</t>
  </si>
  <si>
    <t>src="https://i.ibb.co/6p03WyK/URL-del-repositorio-remoto-en-Git-Hub.jpg"</t>
  </si>
  <si>
    <t xml:space="preserve">                &lt;svg</t>
  </si>
  <si>
    <t xml:space="preserve">    &lt;/code&gt;</t>
  </si>
  <si>
    <t xml:space="preserve">                  xmlns="http://www.w3.org/2000/svg"</t>
  </si>
  <si>
    <t>&lt;/pre&gt;</t>
  </si>
  <si>
    <t xml:space="preserve">                  width="32"</t>
  </si>
  <si>
    <t>alt="Operadores de Comparación en Python"</t>
  </si>
  <si>
    <t xml:space="preserve">                  height="32"</t>
  </si>
  <si>
    <t>title="En este artículo se explicará los seis operadores de comparación que tiene Python"</t>
  </si>
  <si>
    <t xml:space="preserve">                  fill="currentColor"</t>
  </si>
  <si>
    <t xml:space="preserve">                  class="bi bi-arrow-bar-up"</t>
  </si>
  <si>
    <t>&lt;figcaption&gt;Operadores de Comparación en Python&lt;/figcaption&gt;</t>
  </si>
  <si>
    <t xml:space="preserve">                  viewBox="0 0 16 16"</t>
  </si>
  <si>
    <t xml:space="preserve">                  style="margin-left: -2px"</t>
  </si>
  <si>
    <t xml:space="preserve">                &gt;</t>
  </si>
  <si>
    <t xml:space="preserve">                  &lt;path</t>
  </si>
  <si>
    <t xml:space="preserve">                    fill-rule="evenodd"</t>
  </si>
  <si>
    <t xml:space="preserve">                    d="M8 10a.5.5 0 0 0 .5-.5V3.707l2.146 2.147a.5.5 0 0 0 .708-.708l-3-3a.5.5 0 0 0-.708 0l-3 3a.5.5 0 1 0 .708.708L7.5 3.707V9.5a.5.5 0 0 0 .5.5m-7 2.5a.5.5 0 0 1 .5-.5h13a.5.5 0 0 1 0 1h-13a.5.5 0 0 1-.5-.5"</t>
  </si>
  <si>
    <t xml:space="preserve">                  /&gt;</t>
  </si>
  <si>
    <t xml:space="preserve">                &lt;/svg&gt;</t>
  </si>
  <si>
    <t xml:space="preserve">              &lt;/a&gt;</t>
  </si>
  <si>
    <t xml:space="preserve">            &lt;/div&gt;</t>
  </si>
  <si>
    <t xml:space="preserve">            &lt;!-- Go to top Fin--&gt;</t>
  </si>
  <si>
    <t>1. Introducción HTML</t>
  </si>
  <si>
    <t>Falta segun Manz</t>
  </si>
  <si>
    <t>https://lenguajehtml.com/html/documento/validacion-html/</t>
  </si>
  <si>
    <t>Validación de errores HTML</t>
  </si>
  <si>
    <t>2. Estructura del Documento</t>
  </si>
  <si>
    <t>https://lenguajehtml.com/html/documento/atributos-metadatos-e-idioma/</t>
  </si>
  <si>
    <t>Atributos de metadatos e idioma</t>
  </si>
  <si>
    <t>&lt;!DOCTYPE html&gt;</t>
  </si>
  <si>
    <t>https://lenguajehtml.com/html/documento/etiquetas-html-obsoletas/</t>
  </si>
  <si>
    <t>Etiquetas HTML obsoletas</t>
  </si>
  <si>
    <t>&lt;html&gt;</t>
  </si>
  <si>
    <t>&lt;body&gt;</t>
  </si>
  <si>
    <t>3. Metadatos</t>
  </si>
  <si>
    <t>&lt;meta&gt;</t>
  </si>
  <si>
    <t>&lt;base&gt;</t>
  </si>
  <si>
    <t>&lt;link&gt;</t>
  </si>
  <si>
    <t>&lt;style&gt;</t>
  </si>
  <si>
    <t>4. Secciones del Documento</t>
  </si>
  <si>
    <t>&lt;header&gt;</t>
  </si>
  <si>
    <t>&lt;footer&gt;</t>
  </si>
  <si>
    <t>&lt;main&gt;</t>
  </si>
  <si>
    <t>&lt;section&gt;</t>
  </si>
  <si>
    <t>&lt;article&gt;</t>
  </si>
  <si>
    <t>&lt;aside&gt;</t>
  </si>
  <si>
    <t>&lt;nav&gt;</t>
  </si>
  <si>
    <t>&lt;address&gt;</t>
  </si>
  <si>
    <t>5. ETiqueta Contenedora y Genérica</t>
  </si>
  <si>
    <t>&lt;span&gt;</t>
  </si>
  <si>
    <t>6. Etiquetas de Texto</t>
  </si>
  <si>
    <t>Encabezados</t>
  </si>
  <si>
    <t>&lt;h1&gt; a &lt;h6&gt;</t>
  </si>
  <si>
    <t>Parrafos</t>
  </si>
  <si>
    <t>&lt;p&gt;</t>
  </si>
  <si>
    <t>salto</t>
  </si>
  <si>
    <t>&lt;br&gt;</t>
  </si>
  <si>
    <t>regla</t>
  </si>
  <si>
    <t>&lt;hr&gt;</t>
  </si>
  <si>
    <t>7. Formateo de Texto</t>
  </si>
  <si>
    <t>&lt;b&gt;: Negrita sin énfasis (resalta sin importancia semántica)</t>
  </si>
  <si>
    <t>&lt;b&gt;</t>
  </si>
  <si>
    <t>&lt;strong&gt;: Énfasis fuerte (resalta y añade importancia semántica)</t>
  </si>
  <si>
    <t>&lt;strong&gt;</t>
  </si>
  <si>
    <t xml:space="preserve">&lt;i&gt;: Cursiva sin énfasis </t>
  </si>
  <si>
    <t>&lt;i&gt;</t>
  </si>
  <si>
    <t>&lt;em&gt;: Énfasis (cursiva con importancia semántica)</t>
  </si>
  <si>
    <t>&lt;em&gt;</t>
  </si>
  <si>
    <t>&lt;mark&gt;: Texto resaltado (subrayado con fondo amarillo por defecto)</t>
  </si>
  <si>
    <t>&lt;mark&gt;</t>
  </si>
  <si>
    <t>&lt;small&gt;: Texto pequeño</t>
  </si>
  <si>
    <t>&lt;small&gt;</t>
  </si>
  <si>
    <t>&lt;del&gt;: Texto eliminado (se muestra tachado)</t>
  </si>
  <si>
    <t>&lt;del&gt;</t>
  </si>
  <si>
    <t>&lt;ins&gt;: Texto insertado (subrayado, indica texto agregado)</t>
  </si>
  <si>
    <t>&lt;ins&gt;</t>
  </si>
  <si>
    <t>&lt;sub&gt;: Subíndice (como en fórmulas químicas: H&lt;sub&gt;2&lt;/sub&gt;O)</t>
  </si>
  <si>
    <t>&lt;sub&gt;</t>
  </si>
  <si>
    <t>&lt;sup&gt;: Superíndice (como en potencias: x&lt;sup&gt;2&lt;/sup&gt;)</t>
  </si>
  <si>
    <t>&lt;sup&gt;</t>
  </si>
  <si>
    <t>&lt;code&gt;: Código (fuente monoespaciada)</t>
  </si>
  <si>
    <t>&lt;code&gt;</t>
  </si>
  <si>
    <t>&lt;kbd&gt;: Entrada del teclado (como teclas o combinaciones de teclas)</t>
  </si>
  <si>
    <t>&lt;kbd&gt;</t>
  </si>
  <si>
    <t>&lt;samp&gt;: Salida de un programa (texto que representa salida de software)</t>
  </si>
  <si>
    <t>&lt;samp&gt;</t>
  </si>
  <si>
    <t>&lt;var&gt;: Variable (en cursiva, usada en contexto matemático o de programación)</t>
  </si>
  <si>
    <t>&lt;var&gt;</t>
  </si>
  <si>
    <t>&lt;pre&gt;: Texto preformateado (respeta espacios y saltos de línea)</t>
  </si>
  <si>
    <t>&lt;pre&gt;</t>
  </si>
  <si>
    <t>&lt;blockquote&gt;: Cita en bloque (cita larga con sangría)</t>
  </si>
  <si>
    <t>&lt;blockquote&gt;</t>
  </si>
  <si>
    <t>&lt;cite&gt;: Cita de una fuente (título de obra, libro, sitio, etc.)</t>
  </si>
  <si>
    <t>&lt;cite&gt;</t>
  </si>
  <si>
    <t>&lt;q&gt;: Cita en línea (cita corta entre comillas)</t>
  </si>
  <si>
    <t>&lt;q&gt;</t>
  </si>
  <si>
    <t>8. Listas</t>
  </si>
  <si>
    <t>&lt;ol&gt;</t>
  </si>
  <si>
    <t>&lt;li&gt;</t>
  </si>
  <si>
    <t>&lt;dl&gt;</t>
  </si>
  <si>
    <t>&lt;dt&gt;</t>
  </si>
  <si>
    <t>&lt;dd&gt;</t>
  </si>
  <si>
    <t>9. Enlaces e Hiperv铆nculos</t>
  </si>
  <si>
    <t>&lt;a&gt;</t>
  </si>
  <si>
    <t>&lt;abbr&gt;</t>
  </si>
  <si>
    <t>download</t>
  </si>
  <si>
    <t>target="_blank"</t>
  </si>
  <si>
    <t>10. Im谩genes y Multimedia</t>
  </si>
  <si>
    <t>&lt;img&gt;</t>
  </si>
  <si>
    <t>&lt;figure&gt;</t>
  </si>
  <si>
    <t>&lt;figcaption&gt;</t>
  </si>
  <si>
    <t>&lt;audio&gt;</t>
  </si>
  <si>
    <t>&lt;video&gt;</t>
  </si>
  <si>
    <t>&lt;source&gt;</t>
  </si>
  <si>
    <t>&lt;track&gt;</t>
  </si>
  <si>
    <t>&lt;map&gt;</t>
  </si>
  <si>
    <t>&lt;area&gt;</t>
  </si>
  <si>
    <t>11. Tablas</t>
  </si>
  <si>
    <t>&lt;table&gt;</t>
  </si>
  <si>
    <t>&lt;caption&gt;</t>
  </si>
  <si>
    <t>&lt;thead&gt;</t>
  </si>
  <si>
    <t>&lt;tbody&gt;</t>
  </si>
  <si>
    <t>&lt;tfoot&gt;</t>
  </si>
  <si>
    <t>&lt;tr&gt;</t>
  </si>
  <si>
    <t>&lt;th&gt;</t>
  </si>
  <si>
    <t>&lt;td&gt;</t>
  </si>
  <si>
    <t>&lt;col&gt;</t>
  </si>
  <si>
    <t>&lt;colgroup&gt;</t>
  </si>
  <si>
    <t>colspan=""</t>
  </si>
  <si>
    <t>rowspan=""</t>
  </si>
  <si>
    <t>12. Formularios</t>
  </si>
  <si>
    <t>&lt;form&gt;</t>
  </si>
  <si>
    <t>&lt;input&gt;</t>
  </si>
  <si>
    <t>&lt;textarea&gt;</t>
  </si>
  <si>
    <t>&lt;button&gt;</t>
  </si>
  <si>
    <t>&lt;select&gt;</t>
  </si>
  <si>
    <t>&lt;option&gt;</t>
  </si>
  <si>
    <t>&lt;optgroup&gt;</t>
  </si>
  <si>
    <t>&lt;label&gt;</t>
  </si>
  <si>
    <t>&lt;fieldset&gt;</t>
  </si>
  <si>
    <t>&lt;legend&gt;</t>
  </si>
  <si>
    <t>&lt;datalist&gt;</t>
  </si>
  <si>
    <t>&lt;output&gt;</t>
  </si>
  <si>
    <t>&lt;progress&gt;</t>
  </si>
  <si>
    <t>&lt;meter&gt;</t>
  </si>
  <si>
    <t>13. Elementos Interactivos</t>
  </si>
  <si>
    <t>&lt;details&gt;</t>
  </si>
  <si>
    <t>&lt;summary&gt;</t>
  </si>
  <si>
    <t>&lt;dialog&gt;</t>
  </si>
  <si>
    <t>&lt;time&gt;</t>
  </si>
  <si>
    <t>&lt;wbr&gt;</t>
  </si>
  <si>
    <t>13. Elementos Incrustados</t>
  </si>
  <si>
    <t>&lt;iframe&gt;</t>
  </si>
  <si>
    <t>&lt;embed&gt;</t>
  </si>
  <si>
    <t>&lt;object&gt;</t>
  </si>
  <si>
    <t>&lt;param&gt;</t>
  </si>
  <si>
    <t>14. Etiquetas de Programación y Scripts</t>
  </si>
  <si>
    <t>&lt;script&gt;</t>
  </si>
  <si>
    <t>&lt;noscript&gt;</t>
  </si>
  <si>
    <t>&lt;template&gt;</t>
  </si>
  <si>
    <t>&lt;canvas&gt;</t>
  </si>
  <si>
    <t>&lt;svg&gt;</t>
  </si>
  <si>
    <t>&lt;math&gt;</t>
  </si>
  <si>
    <t>&lt;slot&gt;</t>
  </si>
  <si>
    <t>15. Etiquetas Obsoletas o No Recomendadas</t>
  </si>
  <si>
    <t>&lt;acronym&gt;</t>
  </si>
  <si>
    <t>&lt;applet&gt;</t>
  </si>
  <si>
    <t>&lt;basefont&gt;</t>
  </si>
  <si>
    <t>&lt;big&gt;</t>
  </si>
  <si>
    <t>&lt;blink&gt;</t>
  </si>
  <si>
    <t>&lt;center&gt;</t>
  </si>
  <si>
    <t>&lt;font&gt;</t>
  </si>
  <si>
    <t>&lt;frame&gt;</t>
  </si>
  <si>
    <t>&lt;frameset&gt;</t>
  </si>
  <si>
    <t>&lt;noframes&gt;</t>
  </si>
  <si>
    <t>&lt;strike&gt;</t>
  </si>
  <si>
    <t>&lt;tt&gt;</t>
  </si>
  <si>
    <t>&lt;bgsound&gt;</t>
  </si>
  <si>
    <t>&lt;marquee&gt;</t>
  </si>
  <si>
    <t>&lt;shadow&gt;</t>
  </si>
  <si>
    <t>&lt;isindex&gt;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</si>
</sst>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0_ "/>
  </numFmts>
  <fonts count="42">
    <font>
      <sz val="11"/>
      <color theme="1"/>
      <name val="Aptos Narrow"/>
      <charset val="134"/>
      <scheme val="minor"/>
    </font>
    <font>
      <b/>
      <sz val="14.05"/>
      <color theme="1"/>
      <name val="Aptos Narrow"/>
      <charset val="134"/>
      <scheme val="minor"/>
    </font>
    <font>
      <b/>
      <sz val="11"/>
      <color theme="0"/>
      <name val="Aptos Narrow"/>
      <charset val="134"/>
      <scheme val="minor"/>
    </font>
    <font>
      <sz val="14.05"/>
      <color theme="1"/>
      <name val="Aptos Narrow"/>
      <charset val="134"/>
      <scheme val="minor"/>
    </font>
    <font>
      <sz val="12"/>
      <color theme="1"/>
      <name val="Arial"/>
      <charset val="134"/>
    </font>
    <font>
      <sz val="12"/>
      <name val="Arial"/>
      <charset val="134"/>
    </font>
    <font>
      <sz val="12"/>
      <name val="Verdana"/>
      <charset val="134"/>
    </font>
    <font>
      <sz val="12"/>
      <color theme="1"/>
      <name val="Aptos Narrow"/>
      <charset val="134"/>
      <scheme val="minor"/>
    </font>
    <font>
      <u/>
      <sz val="12"/>
      <color rgb="FF800080"/>
      <name val="Aptos Narrow"/>
      <charset val="0"/>
      <scheme val="minor"/>
    </font>
    <font>
      <sz val="10.5"/>
      <name val="Consolas"/>
      <charset val="134"/>
    </font>
    <font>
      <sz val="10"/>
      <color theme="1"/>
      <name val="Arial Unicode MS"/>
      <charset val="134"/>
    </font>
    <font>
      <sz val="10.5"/>
      <color rgb="FF808080"/>
      <name val="Consolas"/>
      <charset val="134"/>
    </font>
    <font>
      <sz val="11"/>
      <color rgb="FF000000"/>
      <name val="Aptos Narrow"/>
      <charset val="134"/>
      <scheme val="minor"/>
    </font>
    <font>
      <b/>
      <sz val="12"/>
      <color theme="0"/>
      <name val="Verdana"/>
      <charset val="134"/>
    </font>
    <font>
      <sz val="12"/>
      <color rgb="FF6A9955"/>
      <name val="Verdana"/>
      <charset val="134"/>
    </font>
    <font>
      <sz val="12"/>
      <color rgb="FFCCCCCC"/>
      <name val="Verdana"/>
      <charset val="134"/>
    </font>
    <font>
      <sz val="11"/>
      <color rgb="FF000000"/>
      <name val="Verdana"/>
      <charset val="134"/>
    </font>
    <font>
      <sz val="11"/>
      <color theme="1"/>
      <name val="Tahoma"/>
      <charset val="134"/>
    </font>
    <font>
      <u/>
      <sz val="11"/>
      <color rgb="FF800080"/>
      <name val="Aptos Narrow"/>
      <charset val="0"/>
      <scheme val="minor"/>
    </font>
    <font>
      <u/>
      <sz val="11"/>
      <color rgb="FF0000FF"/>
      <name val="Aptos Narrow"/>
      <charset val="0"/>
      <scheme val="minor"/>
    </font>
    <font>
      <sz val="11"/>
      <color rgb="FFFF0000"/>
      <name val="Tahoma"/>
      <charset val="134"/>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sz val="10.5"/>
      <color rgb="FF569CD6"/>
      <name val="Consolas"/>
      <charset val="134"/>
    </font>
    <font>
      <sz val="10.5"/>
      <color rgb="FFCCCCCC"/>
      <name val="Consolas"/>
      <charset val="134"/>
    </font>
    <font>
      <sz val="10.5"/>
      <color rgb="FF9CDCFE"/>
      <name val="Consolas"/>
      <charset val="134"/>
    </font>
    <font>
      <sz val="10.5"/>
      <color rgb="FFCE9178"/>
      <name val="Consolas"/>
      <charset val="134"/>
    </font>
  </fonts>
  <fills count="49">
    <fill>
      <patternFill patternType="none"/>
    </fill>
    <fill>
      <patternFill patternType="gray125"/>
    </fill>
    <fill>
      <patternFill patternType="solid">
        <fgColor theme="9" tint="0.6"/>
        <bgColor indexed="64"/>
      </patternFill>
    </fill>
    <fill>
      <patternFill patternType="solid">
        <fgColor theme="8" tint="-0.5"/>
        <bgColor indexed="64"/>
      </patternFill>
    </fill>
    <fill>
      <patternFill patternType="solid">
        <fgColor theme="7" tint="0.8"/>
        <bgColor indexed="64"/>
      </patternFill>
    </fill>
    <fill>
      <patternFill patternType="solid">
        <fgColor theme="9" tint="0.8"/>
        <bgColor indexed="64"/>
      </patternFill>
    </fill>
    <fill>
      <patternFill patternType="solid">
        <fgColor theme="7" tint="0.6"/>
        <bgColor indexed="64"/>
      </patternFill>
    </fill>
    <fill>
      <patternFill patternType="solid">
        <fgColor theme="5" tint="0.8"/>
        <bgColor indexed="64"/>
      </patternFill>
    </fill>
    <fill>
      <patternFill patternType="solid">
        <fgColor theme="3" tint="0.9"/>
        <bgColor indexed="64"/>
      </patternFill>
    </fill>
    <fill>
      <patternFill patternType="solid">
        <fgColor theme="8" tint="0.8"/>
        <bgColor indexed="64"/>
      </patternFill>
    </fill>
    <fill>
      <patternFill patternType="solid">
        <fgColor theme="6" tint="0.8"/>
        <bgColor indexed="64"/>
      </patternFill>
    </fill>
    <fill>
      <patternFill patternType="solid">
        <fgColor rgb="FF94DCF8"/>
        <bgColor indexed="64"/>
      </patternFill>
    </fill>
    <fill>
      <patternFill patternType="solid">
        <fgColor theme="4" tint="0.4"/>
        <bgColor indexed="64"/>
      </patternFill>
    </fill>
    <fill>
      <patternFill patternType="solid">
        <fgColor theme="5" tint="0.4"/>
        <bgColor indexed="64"/>
      </patternFill>
    </fill>
    <fill>
      <patternFill patternType="solid">
        <fgColor theme="5" tint="0.6"/>
        <bgColor indexed="64"/>
      </patternFill>
    </fill>
    <fill>
      <patternFill patternType="solid">
        <fgColor theme="4" tint="0.6"/>
        <bgColor indexed="64"/>
      </patternFill>
    </fill>
    <fill>
      <patternFill patternType="solid">
        <fgColor theme="7"/>
        <bgColor indexed="64"/>
      </patternFill>
    </fill>
    <fill>
      <patternFill patternType="solid">
        <fgColor rgb="FFFFFF00"/>
        <bgColor indexed="64"/>
      </patternFill>
    </fill>
    <fill>
      <patternFill patternType="solid">
        <fgColor theme="3" tint="0.499984740745262"/>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34">
    <border>
      <left/>
      <right/>
      <top/>
      <bottom/>
      <diagonal/>
    </border>
    <border>
      <left/>
      <right style="medium">
        <color auto="1"/>
      </right>
      <top/>
      <bottom/>
      <diagonal/>
    </border>
    <border>
      <left style="medium">
        <color auto="1"/>
      </left>
      <right style="medium">
        <color auto="1"/>
      </right>
      <top style="medium">
        <color auto="1"/>
      </top>
      <bottom style="medium">
        <color auto="1"/>
      </bottom>
      <diagonal/>
    </border>
    <border>
      <left style="double">
        <color auto="1"/>
      </left>
      <right/>
      <top style="double">
        <color auto="1"/>
      </top>
      <bottom/>
      <diagonal/>
    </border>
    <border>
      <left/>
      <right style="medium">
        <color auto="1"/>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medium">
        <color auto="1"/>
      </left>
      <right style="double">
        <color auto="1"/>
      </right>
      <top style="medium">
        <color auto="1"/>
      </top>
      <bottom style="medium">
        <color auto="1"/>
      </bottom>
      <diagonal/>
    </border>
    <border>
      <left style="double">
        <color auto="1"/>
      </left>
      <right/>
      <top/>
      <bottom style="double">
        <color auto="1"/>
      </bottom>
      <diagonal/>
    </border>
    <border>
      <left/>
      <right style="medium">
        <color auto="1"/>
      </right>
      <top/>
      <bottom style="double">
        <color auto="1"/>
      </bottom>
      <diagonal/>
    </border>
    <border>
      <left/>
      <right style="double">
        <color auto="1"/>
      </right>
      <top/>
      <bottom style="double">
        <color auto="1"/>
      </bottom>
      <diagonal/>
    </border>
    <border>
      <left style="medium">
        <color auto="1"/>
      </left>
      <right/>
      <top/>
      <bottom/>
      <diagonal/>
    </border>
    <border>
      <left style="medium">
        <color auto="1"/>
      </left>
      <right style="medium">
        <color auto="1"/>
      </right>
      <top style="medium">
        <color auto="1"/>
      </top>
      <bottom/>
      <diagonal/>
    </border>
    <border>
      <left/>
      <right/>
      <top style="medium">
        <color auto="1"/>
      </top>
      <bottom/>
      <diagonal/>
    </border>
    <border>
      <left style="medium">
        <color auto="1"/>
      </left>
      <right/>
      <top style="medium">
        <color auto="1"/>
      </top>
      <bottom/>
      <diagonal/>
    </border>
    <border>
      <left style="medium">
        <color auto="1"/>
      </left>
      <right style="medium">
        <color auto="1"/>
      </right>
      <top/>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top/>
      <bottom style="medium">
        <color auto="1"/>
      </bottom>
      <diagonal/>
    </border>
    <border>
      <left/>
      <right style="medium">
        <color auto="1"/>
      </right>
      <top style="medium">
        <color auto="1"/>
      </top>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right style="medium">
        <color auto="1"/>
      </right>
      <top/>
      <bottom style="medium">
        <color auto="1"/>
      </bottom>
      <diagonal/>
    </border>
    <border>
      <left style="medium">
        <color auto="1"/>
      </left>
      <right style="medium">
        <color auto="1"/>
      </right>
      <top style="thin">
        <color auto="1"/>
      </top>
      <bottom style="medium">
        <color auto="1"/>
      </bottom>
      <diagonal/>
    </border>
    <border>
      <left/>
      <right/>
      <top style="medium">
        <color rgb="FF000000"/>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9"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0" fillId="21" borderId="26" applyNumberFormat="0" applyFont="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27" applyNumberFormat="0" applyFill="0" applyAlignment="0" applyProtection="0">
      <alignment vertical="center"/>
    </xf>
    <xf numFmtId="0" fontId="25" fillId="0" borderId="27" applyNumberFormat="0" applyFill="0" applyAlignment="0" applyProtection="0">
      <alignment vertical="center"/>
    </xf>
    <xf numFmtId="0" fontId="26" fillId="0" borderId="28" applyNumberFormat="0" applyFill="0" applyAlignment="0" applyProtection="0">
      <alignment vertical="center"/>
    </xf>
    <xf numFmtId="0" fontId="26" fillId="0" borderId="0" applyNumberFormat="0" applyFill="0" applyBorder="0" applyAlignment="0" applyProtection="0">
      <alignment vertical="center"/>
    </xf>
    <xf numFmtId="0" fontId="27" fillId="22" borderId="29" applyNumberFormat="0" applyAlignment="0" applyProtection="0">
      <alignment vertical="center"/>
    </xf>
    <xf numFmtId="0" fontId="28" fillId="23" borderId="30" applyNumberFormat="0" applyAlignment="0" applyProtection="0">
      <alignment vertical="center"/>
    </xf>
    <xf numFmtId="0" fontId="29" fillId="23" borderId="29" applyNumberFormat="0" applyAlignment="0" applyProtection="0">
      <alignment vertical="center"/>
    </xf>
    <xf numFmtId="0" fontId="30" fillId="24" borderId="31" applyNumberFormat="0" applyAlignment="0" applyProtection="0">
      <alignment vertical="center"/>
    </xf>
    <xf numFmtId="0" fontId="31" fillId="0" borderId="32" applyNumberFormat="0" applyFill="0" applyAlignment="0" applyProtection="0">
      <alignment vertical="center"/>
    </xf>
    <xf numFmtId="0" fontId="32" fillId="0" borderId="33" applyNumberFormat="0" applyFill="0" applyAlignment="0" applyProtection="0">
      <alignment vertical="center"/>
    </xf>
    <xf numFmtId="0" fontId="33" fillId="25" borderId="0" applyNumberFormat="0" applyBorder="0" applyAlignment="0" applyProtection="0">
      <alignment vertical="center"/>
    </xf>
    <xf numFmtId="0" fontId="34" fillId="26" borderId="0" applyNumberFormat="0" applyBorder="0" applyAlignment="0" applyProtection="0">
      <alignment vertical="center"/>
    </xf>
    <xf numFmtId="0" fontId="35" fillId="27" borderId="0" applyNumberFormat="0" applyBorder="0" applyAlignment="0" applyProtection="0">
      <alignment vertical="center"/>
    </xf>
    <xf numFmtId="0" fontId="36" fillId="28" borderId="0" applyNumberFormat="0" applyBorder="0" applyAlignment="0" applyProtection="0">
      <alignment vertical="center"/>
    </xf>
    <xf numFmtId="0" fontId="37" fillId="29" borderId="0" applyNumberFormat="0" applyBorder="0" applyAlignment="0" applyProtection="0">
      <alignment vertical="center"/>
    </xf>
    <xf numFmtId="0" fontId="37" fillId="30"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7" fillId="33" borderId="0" applyNumberFormat="0" applyBorder="0" applyAlignment="0" applyProtection="0">
      <alignment vertical="center"/>
    </xf>
    <xf numFmtId="0" fontId="37" fillId="34"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6" fillId="39" borderId="0" applyNumberFormat="0" applyBorder="0" applyAlignment="0" applyProtection="0">
      <alignment vertical="center"/>
    </xf>
    <xf numFmtId="0" fontId="36" fillId="16"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6" fillId="42" borderId="0" applyNumberFormat="0" applyBorder="0" applyAlignment="0" applyProtection="0">
      <alignment vertical="center"/>
    </xf>
    <xf numFmtId="0" fontId="36" fillId="43" borderId="0" applyNumberFormat="0" applyBorder="0" applyAlignment="0" applyProtection="0">
      <alignment vertical="center"/>
    </xf>
    <xf numFmtId="0" fontId="37" fillId="44" borderId="0" applyNumberFormat="0" applyBorder="0" applyAlignment="0" applyProtection="0">
      <alignment vertical="center"/>
    </xf>
    <xf numFmtId="0" fontId="37" fillId="45" borderId="0" applyNumberFormat="0" applyBorder="0" applyAlignment="0" applyProtection="0">
      <alignment vertical="center"/>
    </xf>
    <xf numFmtId="0" fontId="36" fillId="19" borderId="0" applyNumberFormat="0" applyBorder="0" applyAlignment="0" applyProtection="0">
      <alignment vertical="center"/>
    </xf>
    <xf numFmtId="0" fontId="36" fillId="46" borderId="0" applyNumberFormat="0" applyBorder="0" applyAlignment="0" applyProtection="0">
      <alignment vertical="center"/>
    </xf>
    <xf numFmtId="0" fontId="37" fillId="47" borderId="0" applyNumberFormat="0" applyBorder="0" applyAlignment="0" applyProtection="0">
      <alignment vertical="center"/>
    </xf>
    <xf numFmtId="0" fontId="37" fillId="20" borderId="0" applyNumberFormat="0" applyBorder="0" applyAlignment="0" applyProtection="0">
      <alignment vertical="center"/>
    </xf>
    <xf numFmtId="0" fontId="36" fillId="48" borderId="0" applyNumberFormat="0" applyBorder="0" applyAlignment="0" applyProtection="0">
      <alignment vertical="center"/>
    </xf>
  </cellStyleXfs>
  <cellXfs count="140">
    <xf numFmtId="0" fontId="0" fillId="0" borderId="0" xfId="0"/>
    <xf numFmtId="0" fontId="0" fillId="0" borderId="0" xfId="0" applyFill="1" applyAlignment="1">
      <alignment vertical="center"/>
    </xf>
    <xf numFmtId="0" fontId="1" fillId="2" borderId="0" xfId="0" applyFont="1" applyFill="1" applyAlignment="1">
      <alignment vertical="center"/>
    </xf>
    <xf numFmtId="0" fontId="0" fillId="2" borderId="0" xfId="0" applyFill="1" applyAlignment="1">
      <alignment vertical="center"/>
    </xf>
    <xf numFmtId="0" fontId="2" fillId="3" borderId="0" xfId="0" applyFont="1" applyFill="1" applyAlignment="1">
      <alignment horizontal="center" vertical="center"/>
    </xf>
    <xf numFmtId="0" fontId="3" fillId="0" borderId="0" xfId="0" applyFont="1" applyFill="1" applyAlignment="1">
      <alignment vertical="center"/>
    </xf>
    <xf numFmtId="0" fontId="1" fillId="4" borderId="0" xfId="0" applyFont="1" applyFill="1" applyAlignment="1">
      <alignment vertical="center"/>
    </xf>
    <xf numFmtId="0" fontId="0" fillId="4" borderId="0" xfId="0" applyFill="1" applyAlignment="1">
      <alignment vertical="center"/>
    </xf>
    <xf numFmtId="0" fontId="0" fillId="4" borderId="0" xfId="0" applyFill="1" applyAlignment="1">
      <alignment horizontal="left" vertical="center" indent="1"/>
    </xf>
    <xf numFmtId="0" fontId="1" fillId="0" borderId="0" xfId="0" applyFont="1" applyFill="1" applyAlignment="1">
      <alignment vertical="center"/>
    </xf>
    <xf numFmtId="0" fontId="0" fillId="0" borderId="0" xfId="0" applyFill="1" applyAlignment="1">
      <alignment horizontal="left" vertical="center" indent="1"/>
    </xf>
    <xf numFmtId="0" fontId="4" fillId="0" borderId="0" xfId="0" applyFont="1"/>
    <xf numFmtId="0" fontId="5" fillId="0" borderId="0" xfId="0" applyFont="1" applyAlignment="1">
      <alignment wrapText="1"/>
    </xf>
    <xf numFmtId="0" fontId="4" fillId="0" borderId="0" xfId="0" applyFont="1" applyAlignment="1">
      <alignment wrapText="1"/>
    </xf>
    <xf numFmtId="0" fontId="4" fillId="0" borderId="0" xfId="0" applyFont="1" applyAlignment="1"/>
    <xf numFmtId="0" fontId="6" fillId="0" borderId="0" xfId="0" applyNumberFormat="1" applyFont="1" applyAlignment="1"/>
    <xf numFmtId="0" fontId="6" fillId="0" borderId="0" xfId="0" applyNumberFormat="1" applyFont="1" applyFill="1" applyAlignment="1"/>
    <xf numFmtId="0" fontId="7" fillId="0" borderId="0" xfId="0" applyFont="1" applyAlignment="1"/>
    <xf numFmtId="0" fontId="6" fillId="5" borderId="1" xfId="0" applyNumberFormat="1" applyFont="1" applyFill="1" applyBorder="1" applyAlignment="1"/>
    <xf numFmtId="0" fontId="8" fillId="0" borderId="2" xfId="6" applyFont="1" applyFill="1" applyBorder="1" applyAlignment="1"/>
    <xf numFmtId="0" fontId="6" fillId="0" borderId="3" xfId="0" applyNumberFormat="1" applyFont="1" applyBorder="1" applyAlignment="1"/>
    <xf numFmtId="0" fontId="6" fillId="0" borderId="4" xfId="0" applyNumberFormat="1" applyFont="1" applyBorder="1" applyAlignment="1"/>
    <xf numFmtId="0" fontId="6" fillId="0" borderId="5" xfId="0" applyFont="1" applyFill="1" applyBorder="1" applyAlignment="1"/>
    <xf numFmtId="0" fontId="6" fillId="0" borderId="6" xfId="0" applyNumberFormat="1" applyFont="1" applyBorder="1" applyAlignment="1"/>
    <xf numFmtId="0" fontId="6" fillId="0" borderId="1" xfId="0" applyNumberFormat="1" applyFont="1" applyBorder="1" applyAlignment="1"/>
    <xf numFmtId="0" fontId="6" fillId="6" borderId="2" xfId="0" applyFont="1" applyFill="1" applyBorder="1" applyAlignment="1"/>
    <xf numFmtId="49" fontId="7" fillId="0" borderId="0" xfId="0" applyNumberFormat="1" applyFont="1" applyFill="1" applyAlignment="1">
      <alignment vertical="center"/>
    </xf>
    <xf numFmtId="0" fontId="6" fillId="0" borderId="7" xfId="0" applyFont="1" applyFill="1" applyBorder="1" applyAlignment="1"/>
    <xf numFmtId="0" fontId="6" fillId="0" borderId="8" xfId="0" applyFont="1" applyFill="1" applyBorder="1" applyAlignment="1"/>
    <xf numFmtId="0" fontId="6" fillId="0" borderId="9" xfId="0" applyNumberFormat="1" applyFont="1" applyBorder="1" applyAlignment="1"/>
    <xf numFmtId="0" fontId="6" fillId="0" borderId="10" xfId="0" applyNumberFormat="1" applyFont="1" applyBorder="1" applyAlignment="1"/>
    <xf numFmtId="0" fontId="6" fillId="0" borderId="11" xfId="0" applyFont="1" applyFill="1" applyBorder="1" applyAlignment="1"/>
    <xf numFmtId="0" fontId="6" fillId="7" borderId="0" xfId="0" applyNumberFormat="1" applyFont="1" applyFill="1" applyAlignment="1"/>
    <xf numFmtId="0" fontId="6" fillId="0" borderId="0" xfId="0" applyFont="1" applyFill="1" applyAlignment="1"/>
    <xf numFmtId="49" fontId="0" fillId="0" borderId="0" xfId="0" applyNumberFormat="1" applyFill="1" applyAlignment="1">
      <alignment vertical="center"/>
    </xf>
    <xf numFmtId="0" fontId="9" fillId="0" borderId="0" xfId="0" applyFont="1" applyAlignment="1"/>
    <xf numFmtId="0" fontId="0" fillId="0" borderId="0" xfId="0" applyAlignment="1"/>
    <xf numFmtId="0" fontId="0" fillId="0" borderId="12" xfId="0" applyBorder="1" applyAlignment="1"/>
    <xf numFmtId="0" fontId="0" fillId="0" borderId="0" xfId="0" applyBorder="1" applyAlignment="1"/>
    <xf numFmtId="0" fontId="0" fillId="0" borderId="13" xfId="0" applyFill="1" applyBorder="1" applyAlignment="1"/>
    <xf numFmtId="0" fontId="0" fillId="0" borderId="0" xfId="0" applyFill="1" applyAlignment="1"/>
    <xf numFmtId="0" fontId="0" fillId="0" borderId="14" xfId="0" applyBorder="1" applyAlignment="1"/>
    <xf numFmtId="0" fontId="0" fillId="5" borderId="15" xfId="0" applyFill="1" applyBorder="1" applyAlignment="1"/>
    <xf numFmtId="0" fontId="0" fillId="8" borderId="16" xfId="0" applyFill="1" applyBorder="1" applyAlignment="1"/>
    <xf numFmtId="0" fontId="0" fillId="8" borderId="0" xfId="0" applyFill="1" applyAlignment="1"/>
    <xf numFmtId="0" fontId="0" fillId="5" borderId="12" xfId="0" applyFill="1" applyBorder="1" applyAlignment="1"/>
    <xf numFmtId="0" fontId="0" fillId="5" borderId="16" xfId="0" applyFill="1" applyBorder="1" applyAlignment="1"/>
    <xf numFmtId="0" fontId="0" fillId="0" borderId="17" xfId="0" applyBorder="1" applyAlignment="1"/>
    <xf numFmtId="0" fontId="0" fillId="5" borderId="18" xfId="0" applyFill="1" applyBorder="1" applyAlignment="1"/>
    <xf numFmtId="0" fontId="0" fillId="8" borderId="18" xfId="0" applyFill="1" applyBorder="1" applyAlignment="1"/>
    <xf numFmtId="0" fontId="0" fillId="0" borderId="15" xfId="0" applyBorder="1" applyAlignment="1"/>
    <xf numFmtId="0" fontId="0" fillId="0" borderId="19" xfId="0" applyBorder="1" applyAlignment="1"/>
    <xf numFmtId="0" fontId="0" fillId="5" borderId="19" xfId="0" applyFill="1" applyBorder="1" applyAlignment="1"/>
    <xf numFmtId="0" fontId="1" fillId="0" borderId="0" xfId="0" applyFont="1" applyAlignment="1"/>
    <xf numFmtId="0" fontId="10" fillId="0" borderId="0" xfId="0" applyFont="1"/>
    <xf numFmtId="0" fontId="0" fillId="5" borderId="0" xfId="0" applyFill="1" applyAlignment="1"/>
    <xf numFmtId="0" fontId="0" fillId="8" borderId="13" xfId="0" applyFill="1" applyBorder="1" applyAlignment="1"/>
    <xf numFmtId="0" fontId="0" fillId="8" borderId="12" xfId="0" applyFill="1" applyBorder="1" applyAlignment="1"/>
    <xf numFmtId="0" fontId="0" fillId="0" borderId="20" xfId="0" applyBorder="1" applyAlignment="1"/>
    <xf numFmtId="0" fontId="0" fillId="5" borderId="14" xfId="0" applyFill="1" applyBorder="1" applyAlignment="1"/>
    <xf numFmtId="0" fontId="0" fillId="8" borderId="21" xfId="0" applyFill="1" applyBorder="1" applyAlignment="1"/>
    <xf numFmtId="0" fontId="0" fillId="0" borderId="1" xfId="0" applyBorder="1" applyAlignment="1"/>
    <xf numFmtId="0" fontId="0" fillId="5" borderId="0" xfId="0" applyFill="1" applyBorder="1" applyAlignment="1"/>
    <xf numFmtId="0" fontId="0" fillId="8" borderId="22" xfId="0" applyFill="1" applyBorder="1" applyAlignment="1"/>
    <xf numFmtId="0" fontId="0" fillId="0" borderId="23" xfId="0" applyBorder="1" applyAlignment="1"/>
    <xf numFmtId="0" fontId="0" fillId="5" borderId="17" xfId="0" applyFill="1" applyBorder="1" applyAlignment="1"/>
    <xf numFmtId="0" fontId="0" fillId="8" borderId="24" xfId="0" applyFill="1" applyBorder="1" applyAlignment="1"/>
    <xf numFmtId="0" fontId="0" fillId="0" borderId="17" xfId="0" applyBorder="1"/>
    <xf numFmtId="0" fontId="0" fillId="9" borderId="15" xfId="0" applyFill="1" applyBorder="1"/>
    <xf numFmtId="0" fontId="0" fillId="0" borderId="14" xfId="0" applyBorder="1"/>
    <xf numFmtId="0" fontId="0" fillId="6" borderId="14" xfId="0" applyFill="1" applyBorder="1"/>
    <xf numFmtId="0" fontId="0" fillId="4" borderId="14" xfId="0" applyFill="1" applyBorder="1"/>
    <xf numFmtId="0" fontId="0" fillId="0" borderId="20" xfId="0" applyBorder="1"/>
    <xf numFmtId="0" fontId="0" fillId="0" borderId="12" xfId="0" applyBorder="1"/>
    <xf numFmtId="0" fontId="0" fillId="0" borderId="0" xfId="0" applyFont="1"/>
    <xf numFmtId="0" fontId="11" fillId="0" borderId="0" xfId="0" applyFont="1"/>
    <xf numFmtId="0" fontId="0" fillId="6" borderId="0" xfId="0" applyFill="1"/>
    <xf numFmtId="0" fontId="0" fillId="0" borderId="1" xfId="0" applyBorder="1"/>
    <xf numFmtId="0" fontId="0" fillId="9" borderId="12" xfId="0" applyFill="1" applyBorder="1"/>
    <xf numFmtId="0" fontId="0" fillId="10" borderId="0" xfId="0" applyFill="1"/>
    <xf numFmtId="0" fontId="0" fillId="4" borderId="0" xfId="0" applyFill="1"/>
    <xf numFmtId="0" fontId="0" fillId="0" borderId="19" xfId="0" applyBorder="1"/>
    <xf numFmtId="0" fontId="0" fillId="0" borderId="23" xfId="0" applyBorder="1"/>
    <xf numFmtId="0" fontId="0" fillId="0" borderId="15" xfId="0" applyBorder="1"/>
    <xf numFmtId="0" fontId="0" fillId="0" borderId="14" xfId="0" applyFill="1" applyBorder="1"/>
    <xf numFmtId="0" fontId="12" fillId="11" borderId="25" xfId="0" applyFont="1" applyFill="1" applyBorder="1"/>
    <xf numFmtId="0" fontId="0" fillId="0" borderId="0" xfId="0" applyBorder="1"/>
    <xf numFmtId="0" fontId="0" fillId="6" borderId="0" xfId="0" applyFill="1" applyAlignment="1">
      <alignment wrapText="1"/>
    </xf>
    <xf numFmtId="0" fontId="6" fillId="0" borderId="0" xfId="0" applyFont="1" applyAlignment="1"/>
    <xf numFmtId="0" fontId="6" fillId="0" borderId="0" xfId="0" applyFont="1" applyAlignment="1">
      <alignment horizontal="right"/>
    </xf>
    <xf numFmtId="178" fontId="6" fillId="0" borderId="0" xfId="0" applyNumberFormat="1" applyFont="1" applyAlignment="1"/>
    <xf numFmtId="0" fontId="11" fillId="0" borderId="0" xfId="0" applyFont="1" applyAlignment="1"/>
    <xf numFmtId="0" fontId="13" fillId="12" borderId="0" xfId="0" applyFont="1" applyFill="1" applyAlignment="1"/>
    <xf numFmtId="0" fontId="6" fillId="0" borderId="15" xfId="0" applyFont="1" applyBorder="1" applyAlignment="1">
      <alignment horizontal="right"/>
    </xf>
    <xf numFmtId="0" fontId="6" fillId="0" borderId="14" xfId="0" applyFont="1" applyBorder="1" applyAlignment="1"/>
    <xf numFmtId="0" fontId="6" fillId="0" borderId="14" xfId="0" applyFont="1" applyFill="1" applyBorder="1" applyAlignment="1"/>
    <xf numFmtId="178" fontId="6" fillId="0" borderId="20" xfId="0" applyNumberFormat="1" applyFont="1" applyBorder="1" applyAlignment="1"/>
    <xf numFmtId="0" fontId="6" fillId="0" borderId="12" xfId="0" applyFont="1" applyBorder="1" applyAlignment="1">
      <alignment horizontal="right"/>
    </xf>
    <xf numFmtId="0" fontId="6" fillId="2" borderId="0" xfId="0" applyFont="1" applyFill="1" applyAlignment="1"/>
    <xf numFmtId="178" fontId="6" fillId="13" borderId="1" xfId="0" applyNumberFormat="1" applyFont="1" applyFill="1" applyBorder="1" applyAlignment="1"/>
    <xf numFmtId="178" fontId="6" fillId="0" borderId="1" xfId="0" applyNumberFormat="1" applyFont="1" applyBorder="1" applyAlignment="1"/>
    <xf numFmtId="0" fontId="6" fillId="14" borderId="0" xfId="0" applyFont="1" applyFill="1" applyAlignment="1"/>
    <xf numFmtId="0" fontId="6" fillId="15" borderId="0" xfId="0" applyFont="1" applyFill="1" applyAlignment="1"/>
    <xf numFmtId="0" fontId="6" fillId="2" borderId="0" xfId="0" applyFont="1" applyFill="1" applyAlignment="1">
      <alignment horizontal="right"/>
    </xf>
    <xf numFmtId="0" fontId="6" fillId="6" borderId="0" xfId="0" applyFont="1" applyFill="1" applyAlignment="1"/>
    <xf numFmtId="0" fontId="6" fillId="0" borderId="19" xfId="0" applyFont="1" applyBorder="1" applyAlignment="1">
      <alignment horizontal="right"/>
    </xf>
    <xf numFmtId="0" fontId="6" fillId="0" borderId="17" xfId="0" applyFont="1" applyBorder="1" applyAlignment="1"/>
    <xf numFmtId="0" fontId="6" fillId="2" borderId="17" xfId="0" applyFont="1" applyFill="1" applyBorder="1" applyAlignment="1"/>
    <xf numFmtId="178" fontId="6" fillId="0" borderId="23" xfId="0" applyNumberFormat="1" applyFont="1" applyBorder="1" applyAlignment="1"/>
    <xf numFmtId="0" fontId="6" fillId="0" borderId="0" xfId="0" applyFont="1" applyBorder="1" applyAlignment="1"/>
    <xf numFmtId="0" fontId="6" fillId="2" borderId="0" xfId="0" applyFont="1" applyFill="1" applyBorder="1" applyAlignment="1"/>
    <xf numFmtId="0" fontId="6" fillId="0" borderId="20" xfId="0" applyFont="1" applyBorder="1" applyAlignment="1"/>
    <xf numFmtId="0" fontId="6" fillId="0" borderId="1" xfId="0" applyFont="1" applyBorder="1" applyAlignment="1"/>
    <xf numFmtId="0" fontId="6" fillId="0" borderId="23" xfId="0" applyFont="1" applyBorder="1" applyAlignment="1"/>
    <xf numFmtId="178" fontId="6" fillId="16" borderId="0" xfId="0" applyNumberFormat="1" applyFont="1" applyFill="1" applyAlignment="1"/>
    <xf numFmtId="178" fontId="6" fillId="17" borderId="0" xfId="0" applyNumberFormat="1" applyFont="1" applyFill="1" applyAlignment="1"/>
    <xf numFmtId="178" fontId="6" fillId="0" borderId="0" xfId="0" applyNumberFormat="1" applyFont="1" applyFill="1" applyAlignment="1"/>
    <xf numFmtId="0" fontId="6" fillId="0" borderId="0" xfId="0" applyFont="1" applyFill="1" applyAlignment="1">
      <alignment horizontal="right"/>
    </xf>
    <xf numFmtId="0" fontId="14" fillId="0" borderId="0" xfId="0" applyFont="1" applyAlignment="1"/>
    <xf numFmtId="0" fontId="15" fillId="0" borderId="0" xfId="0" applyFont="1" applyAlignment="1"/>
    <xf numFmtId="0" fontId="6" fillId="0" borderId="13" xfId="0" applyFont="1" applyBorder="1" applyAlignment="1"/>
    <xf numFmtId="0" fontId="6" fillId="0" borderId="16" xfId="0" applyFont="1" applyBorder="1" applyAlignment="1"/>
    <xf numFmtId="0" fontId="6" fillId="0" borderId="18" xfId="0" applyFont="1" applyBorder="1" applyAlignment="1"/>
    <xf numFmtId="0" fontId="6" fillId="0" borderId="0" xfId="0" applyFont="1" applyAlignment="1">
      <alignment horizontal="center"/>
    </xf>
    <xf numFmtId="0" fontId="16" fillId="0" borderId="0" xfId="0" applyFont="1" applyAlignment="1"/>
    <xf numFmtId="0" fontId="17" fillId="0" borderId="0" xfId="0" applyFont="1"/>
    <xf numFmtId="0" fontId="17" fillId="0" borderId="0" xfId="0" applyFont="1" applyFill="1"/>
    <xf numFmtId="0" fontId="17" fillId="18" borderId="0" xfId="0" applyFont="1" applyFill="1"/>
    <xf numFmtId="0" fontId="18" fillId="0" borderId="0" xfId="6" applyFont="1" applyAlignment="1"/>
    <xf numFmtId="0" fontId="17" fillId="19" borderId="0" xfId="0" applyFont="1" applyFill="1"/>
    <xf numFmtId="0" fontId="19" fillId="6" borderId="0" xfId="6" applyFill="1" applyAlignment="1"/>
    <xf numFmtId="0" fontId="19" fillId="0" borderId="0" xfId="6"/>
    <xf numFmtId="0" fontId="17" fillId="0" borderId="0" xfId="0" applyFont="1" applyAlignment="1"/>
    <xf numFmtId="0" fontId="17" fillId="0" borderId="0" xfId="0" applyFont="1" applyFill="1" applyAlignment="1"/>
    <xf numFmtId="0" fontId="17" fillId="6" borderId="0" xfId="0" applyFont="1" applyFill="1" applyAlignment="1"/>
    <xf numFmtId="0" fontId="17" fillId="20" borderId="0" xfId="0" applyFont="1" applyFill="1" applyAlignment="1"/>
    <xf numFmtId="0" fontId="17" fillId="20" borderId="0" xfId="0" applyFont="1" applyFill="1"/>
    <xf numFmtId="0" fontId="17" fillId="0" borderId="0" xfId="0" applyFont="1" applyFill="1" applyAlignment="1">
      <alignment wrapText="1"/>
    </xf>
    <xf numFmtId="0" fontId="20" fillId="0" borderId="0" xfId="0" applyFont="1" applyFill="1" applyAlignment="1"/>
    <xf numFmtId="0" fontId="19" fillId="0" borderId="0" xfId="6" applyAlignment="1"/>
    <xf numFmtId="0" fontId="13" fillId="12" borderId="0" xfId="0" applyFont="1" applyFill="1" applyAlignment="1" quotePrefix="1"/>
    <xf numFmtId="0" fontId="6" fillId="2" borderId="0" xfId="0" applyFont="1" applyFill="1" applyAlignment="1" quotePrefix="1"/>
  </cellXfs>
  <cellStyles count="49">
    <cellStyle name="Normal" xfId="0" builtinId="0"/>
    <cellStyle name="Coma" xfId="1" builtinId="3"/>
    <cellStyle name="Moneda" xfId="2" builtinId="4"/>
    <cellStyle name="Porcentaje"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dxfs count="3">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eduardoherreraf.github.io/bootstrap.html"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img12.pixhost.to/images/857/575188671_png-transparent-html5-plain-logo-icon-wbg.png" TargetMode="External"/><Relationship Id="rId1" Type="http://schemas.openxmlformats.org/officeDocument/2006/relationships/hyperlink" Target="https://git-introduccion_de_git_para_windows.html"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imgur.com/JKbKYrO.png" TargetMode="External"/><Relationship Id="rId2" Type="http://schemas.openxmlformats.org/officeDocument/2006/relationships/hyperlink" Target="https://i.ibb.co/gMnStWkj/formato-de-texto.png" TargetMode="External"/><Relationship Id="rId1" Type="http://schemas.openxmlformats.org/officeDocument/2006/relationships/hyperlink" Target="https://git-introduccion_de_git_para_windows.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6"/>
  </sheetPr>
  <dimension ref="A1:F53"/>
  <sheetViews>
    <sheetView zoomScale="120" zoomScaleNormal="120" workbookViewId="0">
      <pane xSplit="1" ySplit="3" topLeftCell="B4" activePane="bottomRight" state="frozen"/>
      <selection/>
      <selection pane="topRight"/>
      <selection pane="bottomLeft"/>
      <selection pane="bottomRight" activeCell="A4" sqref="A4"/>
    </sheetView>
  </sheetViews>
  <sheetFormatPr defaultColWidth="11" defaultRowHeight="13.8" outlineLevelCol="5"/>
  <cols>
    <col min="1" max="1" width="0.158333333333333" style="125" customWidth="1"/>
    <col min="2" max="2" width="11" style="125"/>
    <col min="3" max="3" width="139.991666666667" style="125" customWidth="1"/>
    <col min="4" max="4" width="11" style="125"/>
    <col min="5" max="5" width="35" style="125" customWidth="1"/>
    <col min="6" max="16383" width="11" style="125"/>
    <col min="16384" max="16384" width="11" style="74"/>
  </cols>
  <sheetData>
    <row r="1" spans="2:4">
      <c r="B1" s="127" t="s">
        <v>0</v>
      </c>
      <c r="C1" t="s">
        <v>1</v>
      </c>
      <c r="D1" s="125" t="s">
        <v>2</v>
      </c>
    </row>
    <row r="2" spans="2:4">
      <c r="B2" s="129" t="s">
        <v>3</v>
      </c>
      <c r="C2" s="139" t="s">
        <v>4</v>
      </c>
      <c r="D2" s="125" t="s">
        <v>2</v>
      </c>
    </row>
    <row r="3" spans="2:4">
      <c r="B3" s="136" t="s">
        <v>5</v>
      </c>
      <c r="C3" t="s">
        <v>6</v>
      </c>
      <c r="D3" s="125" t="s">
        <v>2</v>
      </c>
    </row>
    <row r="4" ht="6" customHeight="1" spans="2:2">
      <c r="B4" s="126"/>
    </row>
    <row r="5" spans="1:4">
      <c r="A5" s="125" t="s">
        <v>7</v>
      </c>
      <c r="B5" s="133" t="str">
        <f t="shared" ref="B5:B8" si="0">A5</f>
        <v>&lt;head&gt;</v>
      </c>
      <c r="C5" s="133"/>
      <c r="D5" s="133" t="s">
        <v>2</v>
      </c>
    </row>
    <row r="6" spans="1:4">
      <c r="A6" s="125" t="s">
        <v>8</v>
      </c>
      <c r="B6" s="133" t="str">
        <f t="shared" si="0"/>
        <v>&lt;!-- Metaetiquetas --&gt;</v>
      </c>
      <c r="C6" s="133"/>
      <c r="D6" s="133" t="s">
        <v>2</v>
      </c>
    </row>
    <row r="7" spans="1:4">
      <c r="A7" s="125" t="s">
        <v>9</v>
      </c>
      <c r="B7" s="133" t="str">
        <f t="shared" si="0"/>
        <v>&lt;meta charset="utf-8" /&gt;</v>
      </c>
      <c r="C7" s="133"/>
      <c r="D7" s="133" t="s">
        <v>2</v>
      </c>
    </row>
    <row r="8" spans="1:4">
      <c r="A8" s="125" t="s">
        <v>10</v>
      </c>
      <c r="B8" s="133" t="str">
        <f t="shared" si="0"/>
        <v>&lt;meta name="viewport" content="width=device-width, initial-scale=1" /&gt;</v>
      </c>
      <c r="C8" s="133"/>
      <c r="D8" s="133" t="s">
        <v>2</v>
      </c>
    </row>
    <row r="9" spans="1:6">
      <c r="A9" s="127" t="s">
        <v>11</v>
      </c>
      <c r="B9" s="133" t="str">
        <f>CONCATENATE(E9,$C$1,F9)</f>
        <v>&lt;meta name="description" content="Ing. Eduardo Herrera Forero." /&gt;</v>
      </c>
      <c r="C9" s="133"/>
      <c r="D9" s="133" t="s">
        <v>2</v>
      </c>
      <c r="E9" s="125" t="s">
        <v>12</v>
      </c>
      <c r="F9" s="125" t="s">
        <v>13</v>
      </c>
    </row>
    <row r="10" spans="1:4">
      <c r="A10" s="125" t="s">
        <v>14</v>
      </c>
      <c r="B10" s="133" t="str">
        <f>A10</f>
        <v>&lt;meta name="author" content="Ing. Eduardo Herrera Forero" /&gt;</v>
      </c>
      <c r="C10" s="133"/>
      <c r="D10" s="133" t="s">
        <v>2</v>
      </c>
    </row>
    <row r="11" spans="1:4">
      <c r="A11" s="125" t="s">
        <v>15</v>
      </c>
      <c r="B11" s="133" t="str">
        <f>A11</f>
        <v>&lt;meta name="application-name" content="EHF" /&gt;</v>
      </c>
      <c r="C11" s="133"/>
      <c r="D11" s="133" t="s">
        <v>2</v>
      </c>
    </row>
    <row r="12" spans="1:4">
      <c r="A12" s="125" t="s">
        <v>16</v>
      </c>
      <c r="B12" s="133" t="str">
        <f>A12</f>
        <v>&lt;meta name="robots" content="index, follow" /&gt;</v>
      </c>
      <c r="C12" s="133"/>
      <c r="D12" s="133" t="s">
        <v>2</v>
      </c>
    </row>
    <row r="13" spans="1:5">
      <c r="A13" s="129" t="s">
        <v>17</v>
      </c>
      <c r="B13" s="133" t="str">
        <f>CONCATENATE(E13,$C$2,$F$9)</f>
        <v>&lt;link rel="canonical" href="https://eduardoherreraf.github.io/bootstrap.html" /&gt;</v>
      </c>
      <c r="C13" s="133"/>
      <c r="D13" s="133" t="s">
        <v>2</v>
      </c>
      <c r="E13" s="125" t="s">
        <v>18</v>
      </c>
    </row>
    <row r="14" spans="1:4">
      <c r="A14" s="125" t="s">
        <v>19</v>
      </c>
      <c r="B14" s="133" t="str">
        <f t="shared" ref="B14:B17" si="1">A14</f>
        <v>&lt;!-- Fin Metaetiquetas --&gt;</v>
      </c>
      <c r="C14" s="133"/>
      <c r="D14" s="133" t="s">
        <v>2</v>
      </c>
    </row>
    <row r="15" spans="2:4">
      <c r="B15" s="133" t="s">
        <v>20</v>
      </c>
      <c r="C15" s="133"/>
      <c r="D15" s="133" t="s">
        <v>2</v>
      </c>
    </row>
    <row r="16" spans="1:4">
      <c r="A16" s="125" t="s">
        <v>21</v>
      </c>
      <c r="B16" s="133" t="str">
        <f t="shared" si="1"/>
        <v>&lt;!-- Open Graph data --&gt;</v>
      </c>
      <c r="C16" s="133"/>
      <c r="D16" s="133" t="s">
        <v>2</v>
      </c>
    </row>
    <row r="17" spans="1:4">
      <c r="A17" s="125" t="s">
        <v>22</v>
      </c>
      <c r="B17" s="133" t="str">
        <f t="shared" si="1"/>
        <v>&lt;meta property="og:type" content="website" /&gt;</v>
      </c>
      <c r="C17" s="133"/>
      <c r="D17" s="133" t="s">
        <v>2</v>
      </c>
    </row>
    <row r="18" spans="1:5">
      <c r="A18" s="127" t="s">
        <v>23</v>
      </c>
      <c r="B18" s="133" t="str">
        <f>CONCATENATE(E18,$C$1,F9)</f>
        <v>&lt;meta property="og:title" content="Ing. Eduardo Herrera Forero." /&gt;</v>
      </c>
      <c r="C18" s="133"/>
      <c r="D18" s="133" t="s">
        <v>2</v>
      </c>
      <c r="E18" s="125" t="s">
        <v>24</v>
      </c>
    </row>
    <row r="19" spans="1:5">
      <c r="A19" s="136" t="s">
        <v>25</v>
      </c>
      <c r="B19" s="133" t="str">
        <f>CONCATENATE(E19,$C$3,$F$9)</f>
        <v>&lt;meta property="og:description" content="Esta es la Página Web del ingeniero Eduardo Herrera Forero y sus publicaciones." /&gt;</v>
      </c>
      <c r="C19" s="133"/>
      <c r="D19" s="133" t="s">
        <v>2</v>
      </c>
      <c r="E19" s="125" t="s">
        <v>26</v>
      </c>
    </row>
    <row r="20" spans="1:4">
      <c r="A20" s="125" t="s">
        <v>27</v>
      </c>
      <c r="B20" s="133" t="str">
        <f t="shared" ref="B20:B24" si="2">A20</f>
        <v>&lt;meta property="og:image" content="https://i.imgur.com/JKbKYrO.png" /&gt;</v>
      </c>
      <c r="C20" s="133"/>
      <c r="D20" s="133" t="s">
        <v>2</v>
      </c>
    </row>
    <row r="21" spans="1:4">
      <c r="A21" s="125" t="s">
        <v>28</v>
      </c>
      <c r="B21" s="133" t="str">
        <f t="shared" si="2"/>
        <v>&lt;meta property="og:image:alt" content="Logo del ingeniero Eduardo Herrera Forero"/&gt;</v>
      </c>
      <c r="C21" s="133"/>
      <c r="D21" s="133" t="s">
        <v>2</v>
      </c>
    </row>
    <row r="22" spans="1:5">
      <c r="A22" s="129" t="s">
        <v>29</v>
      </c>
      <c r="B22" s="133" t="str">
        <f>CONCATENATE(E22,$C$2,$F$9)</f>
        <v>&lt;meta property="og:url" content="https://eduardoherreraf.github.io/bootstrap.html" /&gt;</v>
      </c>
      <c r="C22" s="133"/>
      <c r="D22" s="133" t="s">
        <v>2</v>
      </c>
      <c r="E22" s="125" t="s">
        <v>30</v>
      </c>
    </row>
    <row r="23" spans="1:4">
      <c r="A23" s="125" t="s">
        <v>31</v>
      </c>
      <c r="B23" s="133" t="str">
        <f t="shared" si="2"/>
        <v>&lt;meta property="og:locale" content="es_CO" /&gt;</v>
      </c>
      <c r="C23" s="133"/>
      <c r="D23" s="133" t="s">
        <v>2</v>
      </c>
    </row>
    <row r="24" spans="1:4">
      <c r="A24" s="125" t="s">
        <v>32</v>
      </c>
      <c r="B24" s="133" t="str">
        <f t="shared" si="2"/>
        <v>&lt;!-- fin Open Graph data --&gt;</v>
      </c>
      <c r="C24" s="133"/>
      <c r="D24" s="133" t="s">
        <v>2</v>
      </c>
    </row>
    <row r="25" spans="2:4">
      <c r="B25" s="133" t="s">
        <v>33</v>
      </c>
      <c r="C25" s="133"/>
      <c r="D25" s="133" t="s">
        <v>2</v>
      </c>
    </row>
    <row r="26" spans="1:4">
      <c r="A26" s="125" t="s">
        <v>34</v>
      </c>
      <c r="B26" s="133" t="str">
        <f t="shared" ref="B26:B28" si="3">A26</f>
        <v>&lt;!-- Twitter cards --&gt;</v>
      </c>
      <c r="C26" s="133"/>
      <c r="D26" s="133" t="s">
        <v>2</v>
      </c>
    </row>
    <row r="27" spans="1:4">
      <c r="A27" s="125" t="s">
        <v>35</v>
      </c>
      <c r="B27" s="133" t="str">
        <f t="shared" si="3"/>
        <v>&lt;meta name="twitter:card" content="summary" /&gt;</v>
      </c>
      <c r="C27" s="133"/>
      <c r="D27" s="133" t="s">
        <v>2</v>
      </c>
    </row>
    <row r="28" spans="1:4">
      <c r="A28" s="125" t="s">
        <v>36</v>
      </c>
      <c r="B28" s="133" t="str">
        <f t="shared" si="3"/>
        <v>&lt;meta name="twitter:site" content="@ehfeduardo" /&gt;</v>
      </c>
      <c r="C28" s="133"/>
      <c r="D28" s="133" t="s">
        <v>2</v>
      </c>
    </row>
    <row r="29" spans="1:5">
      <c r="A29" s="127" t="s">
        <v>37</v>
      </c>
      <c r="B29" s="133" t="str">
        <f>CONCATENATE(E29,$C$1,$F$9)</f>
        <v>&lt;meta name="twitter:title" content="Ing. Eduardo Herrera Forero." /&gt;</v>
      </c>
      <c r="C29" s="133"/>
      <c r="D29" s="133" t="s">
        <v>2</v>
      </c>
      <c r="E29" s="125" t="s">
        <v>38</v>
      </c>
    </row>
    <row r="30" spans="1:5">
      <c r="A30" s="136" t="s">
        <v>39</v>
      </c>
      <c r="B30" s="133" t="str">
        <f>CONCATENATE(E30,$C$3,$F$9)</f>
        <v>&lt;meta name="twitter:description" content="Esta es la Página Web del ingeniero Eduardo Herrera Forero y sus publicaciones." /&gt;</v>
      </c>
      <c r="C30" s="133"/>
      <c r="D30" s="133" t="s">
        <v>2</v>
      </c>
      <c r="E30" s="125" t="s">
        <v>40</v>
      </c>
    </row>
    <row r="31" spans="1:4">
      <c r="A31" s="125" t="s">
        <v>41</v>
      </c>
      <c r="B31" s="133" t="str">
        <f t="shared" ref="B31:B33" si="4">A31</f>
        <v>&lt;meta name="twitter:image" content="https://i.imgur.com/JKbKYrO.png" /&gt;</v>
      </c>
      <c r="C31" s="133"/>
      <c r="D31" s="133" t="s">
        <v>2</v>
      </c>
    </row>
    <row r="32" spans="1:4">
      <c r="A32" s="125" t="s">
        <v>42</v>
      </c>
      <c r="B32" s="133" t="str">
        <f t="shared" si="4"/>
        <v>&lt;meta name="twitter:image:alt" content="Logo del ingeniero Eduardo Herrera Forero"&gt;</v>
      </c>
      <c r="C32" s="133"/>
      <c r="D32" s="133" t="s">
        <v>2</v>
      </c>
    </row>
    <row r="33" spans="1:4">
      <c r="A33" s="125" t="s">
        <v>43</v>
      </c>
      <c r="B33" s="133" t="str">
        <f t="shared" si="4"/>
        <v>&lt;!-- Fin Twitter cards --&gt;</v>
      </c>
      <c r="C33" s="133"/>
      <c r="D33" s="133" t="s">
        <v>2</v>
      </c>
    </row>
    <row r="34" spans="2:4">
      <c r="B34" s="133" t="s">
        <v>33</v>
      </c>
      <c r="C34" s="133"/>
      <c r="D34" s="133" t="s">
        <v>2</v>
      </c>
    </row>
    <row r="35" spans="1:4">
      <c r="A35" s="125" t="s">
        <v>44</v>
      </c>
      <c r="B35" s="133" t="str">
        <f t="shared" ref="B35:B44" si="5">A35</f>
        <v>&lt;!-- iconos --&gt;</v>
      </c>
      <c r="C35" s="133"/>
      <c r="D35" s="133" t="s">
        <v>2</v>
      </c>
    </row>
    <row r="36" spans="1:4">
      <c r="A36" s="125" t="s">
        <v>45</v>
      </c>
      <c r="B36" s="133" t="str">
        <f t="shared" si="5"/>
        <v>&lt;link rel="apple-touch-icon" sizes="180x180" href="apple-touch-icon.png" /&gt;</v>
      </c>
      <c r="C36" s="133"/>
      <c r="D36" s="133" t="s">
        <v>2</v>
      </c>
    </row>
    <row r="37" spans="1:4">
      <c r="A37" s="125" t="s">
        <v>46</v>
      </c>
      <c r="B37" s="133" t="str">
        <f t="shared" si="5"/>
        <v>&lt;link rel="icon" type="image/png" sizes="32x32" href="favicon-32x32.png" /&gt;</v>
      </c>
      <c r="C37" s="133"/>
      <c r="D37" s="133" t="s">
        <v>2</v>
      </c>
    </row>
    <row r="38" spans="1:4">
      <c r="A38" s="125" t="s">
        <v>47</v>
      </c>
      <c r="B38" s="133" t="str">
        <f t="shared" si="5"/>
        <v>&lt;link rel="icon" type="image/png" sizes="192x192" href="android-chrome-192x192.png"/&gt;</v>
      </c>
      <c r="C38" s="133"/>
      <c r="D38" s="133" t="s">
        <v>2</v>
      </c>
    </row>
    <row r="39" spans="1:4">
      <c r="A39" s="125" t="s">
        <v>48</v>
      </c>
      <c r="B39" s="133" t="str">
        <f t="shared" si="5"/>
        <v>&lt;link rel="icon" type="image/png" sizes="16x16" href="favicon-16x16.png" /&gt;</v>
      </c>
      <c r="C39" s="133"/>
      <c r="D39" s="133" t="s">
        <v>2</v>
      </c>
    </row>
    <row r="40" spans="1:4">
      <c r="A40" s="125" t="s">
        <v>49</v>
      </c>
      <c r="B40" s="133" t="str">
        <f t="shared" si="5"/>
        <v>&lt;link rel="manifest" href="site.webmanifest" /&gt;</v>
      </c>
      <c r="C40" s="133"/>
      <c r="D40" s="133" t="s">
        <v>2</v>
      </c>
    </row>
    <row r="41" spans="1:4">
      <c r="A41" s="125" t="s">
        <v>50</v>
      </c>
      <c r="B41" s="133" t="str">
        <f t="shared" si="5"/>
        <v>&lt;link rel="mask-icon" href="safari-pinned-tab.svg" color="#5bbad5" /&gt;</v>
      </c>
      <c r="C41" s="133"/>
      <c r="D41" s="133" t="s">
        <v>2</v>
      </c>
    </row>
    <row r="42" spans="1:4">
      <c r="A42" s="125" t="s">
        <v>51</v>
      </c>
      <c r="B42" s="133" t="str">
        <f t="shared" si="5"/>
        <v>&lt;meta name="msapplication-TileColor" content="#da532c" /&gt;</v>
      </c>
      <c r="C42" s="133"/>
      <c r="D42" s="133" t="s">
        <v>2</v>
      </c>
    </row>
    <row r="43" spans="1:4">
      <c r="A43" s="125" t="s">
        <v>52</v>
      </c>
      <c r="B43" s="133" t="str">
        <f t="shared" si="5"/>
        <v>&lt;meta name="theme-color" content="#ffffff" /&gt;</v>
      </c>
      <c r="C43" s="133"/>
      <c r="D43" s="133" t="s">
        <v>2</v>
      </c>
    </row>
    <row r="44" spans="1:4">
      <c r="A44" s="125" t="s">
        <v>53</v>
      </c>
      <c r="B44" s="133" t="str">
        <f t="shared" si="5"/>
        <v>&lt;!-- fin iconos --&gt;</v>
      </c>
      <c r="C44" s="133"/>
      <c r="D44" s="133" t="s">
        <v>2</v>
      </c>
    </row>
    <row r="45" spans="2:4">
      <c r="B45" s="133" t="s">
        <v>33</v>
      </c>
      <c r="C45" s="133"/>
      <c r="D45" s="133" t="s">
        <v>2</v>
      </c>
    </row>
    <row r="46" spans="1:4">
      <c r="A46" s="125" t="s">
        <v>54</v>
      </c>
      <c r="B46" s="133" t="str">
        <f t="shared" ref="B46:B50" si="6">A46</f>
        <v>&lt;title&gt;</v>
      </c>
      <c r="C46" s="133"/>
      <c r="D46" s="133" t="s">
        <v>2</v>
      </c>
    </row>
    <row r="47" spans="1:4">
      <c r="A47" s="127" t="s">
        <v>55</v>
      </c>
      <c r="B47" s="133" t="str">
        <f>C1</f>
        <v>Ing. Eduardo Herrera Forero.</v>
      </c>
      <c r="C47" s="133"/>
      <c r="D47" s="133" t="s">
        <v>2</v>
      </c>
    </row>
    <row r="48" spans="1:4">
      <c r="A48" s="125" t="s">
        <v>56</v>
      </c>
      <c r="B48" s="133" t="str">
        <f t="shared" si="6"/>
        <v>&lt;/title&gt;</v>
      </c>
      <c r="C48" s="133"/>
      <c r="D48" s="133" t="s">
        <v>2</v>
      </c>
    </row>
    <row r="49" spans="2:4">
      <c r="B49" s="133" t="s">
        <v>33</v>
      </c>
      <c r="C49" s="133"/>
      <c r="D49" s="133" t="s">
        <v>2</v>
      </c>
    </row>
    <row r="50" spans="1:4">
      <c r="A50" s="125" t="s">
        <v>57</v>
      </c>
      <c r="B50" s="133" t="str">
        <f t="shared" si="6"/>
        <v>&lt;script type="module" defer src="./js/main.js"&gt;&lt;/script&gt;</v>
      </c>
      <c r="C50" s="133"/>
      <c r="D50" s="133" t="s">
        <v>2</v>
      </c>
    </row>
    <row r="51" spans="2:4">
      <c r="B51" s="133" t="s">
        <v>33</v>
      </c>
      <c r="C51" s="133"/>
      <c r="D51" s="133" t="s">
        <v>2</v>
      </c>
    </row>
    <row r="52" spans="1:4">
      <c r="A52" s="125" t="s">
        <v>58</v>
      </c>
      <c r="B52" s="133" t="str">
        <f>A52</f>
        <v>&lt;meta name="google-site-verification" content="2H5ZMCD1_xl7oxaiqnopfdQBnIXVIOfmW0UBSa5sQJc"/&gt;</v>
      </c>
      <c r="C52" s="133"/>
      <c r="D52" s="133" t="s">
        <v>2</v>
      </c>
    </row>
    <row r="53" spans="1:4">
      <c r="A53" s="125" t="s">
        <v>59</v>
      </c>
      <c r="B53" s="133" t="str">
        <f>A53</f>
        <v>&lt;/head&gt;</v>
      </c>
      <c r="C53" s="133"/>
      <c r="D53" s="133" t="s">
        <v>2</v>
      </c>
    </row>
  </sheetData>
  <hyperlinks>
    <hyperlink ref="C2" r:id="rId1" display="https://eduardoherreraf.github.io/bootstrap.html"/>
  </hyperlink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56"/>
  <sheetViews>
    <sheetView zoomScale="120" zoomScaleNormal="120" workbookViewId="0">
      <pane xSplit="1" ySplit="3" topLeftCell="B27" activePane="bottomRight" state="frozen"/>
      <selection/>
      <selection pane="topRight"/>
      <selection pane="bottomLeft"/>
      <selection pane="bottomRight" activeCell="B2" sqref="B2"/>
    </sheetView>
  </sheetViews>
  <sheetFormatPr defaultColWidth="11" defaultRowHeight="13.8"/>
  <cols>
    <col min="1" max="1" width="0.158333333333333" style="125" customWidth="1"/>
    <col min="2" max="2" width="61.1416666666667" style="125" customWidth="1"/>
    <col min="3" max="3" width="63.6416666666667" style="125" customWidth="1"/>
    <col min="4" max="4" width="35.2" style="125" customWidth="1"/>
    <col min="5" max="5" width="35" style="125" customWidth="1"/>
    <col min="6" max="16383" width="11" style="125"/>
    <col min="16384" max="16384" width="11" style="74"/>
  </cols>
  <sheetData>
    <row r="1" spans="2:5">
      <c r="B1" s="126" t="s">
        <v>0</v>
      </c>
      <c r="C1" s="127" t="s">
        <v>60</v>
      </c>
      <c r="D1" s="125" t="str">
        <f>C1</f>
        <v>Índice de HTML - Ing. Eduardo Herrera Forero.</v>
      </c>
      <c r="E1" s="125" t="str">
        <f>LEFT(C1,FIND("-",C1)-2)</f>
        <v>Índice de HTML</v>
      </c>
    </row>
    <row r="2" spans="1:4">
      <c r="A2" s="128" t="str">
        <f>CONCATENATE("https://eduardoherreraf.github.io/",C2)</f>
        <v>https://eduardoherreraf.github.io/html.html</v>
      </c>
      <c r="B2" s="126" t="s">
        <v>3</v>
      </c>
      <c r="C2" s="129" t="s">
        <v>61</v>
      </c>
      <c r="D2" s="128" t="s">
        <v>62</v>
      </c>
    </row>
    <row r="3" s="36" customFormat="1" spans="1:2575">
      <c r="A3" s="132"/>
      <c r="B3" s="133" t="s">
        <v>5</v>
      </c>
      <c r="C3" s="135" t="s">
        <v>63</v>
      </c>
      <c r="D3" s="132"/>
      <c r="F3" s="132"/>
      <c r="G3" s="132"/>
      <c r="H3" s="132"/>
      <c r="I3" s="132"/>
      <c r="J3" s="132"/>
      <c r="K3" s="132"/>
      <c r="L3" s="132"/>
      <c r="M3" s="132"/>
      <c r="N3" s="132"/>
      <c r="O3" s="132"/>
      <c r="P3" s="132"/>
      <c r="Q3" s="132"/>
      <c r="R3" s="132"/>
      <c r="S3" s="132"/>
      <c r="T3" s="132"/>
      <c r="U3" s="132"/>
      <c r="V3" s="132"/>
      <c r="W3" s="132"/>
      <c r="X3" s="132"/>
      <c r="Y3" s="132"/>
      <c r="Z3" s="132"/>
      <c r="AA3" s="132"/>
      <c r="AB3" s="132"/>
      <c r="AC3" s="132"/>
      <c r="AD3" s="132"/>
      <c r="AE3" s="132"/>
      <c r="AF3" s="132"/>
      <c r="AG3" s="132"/>
      <c r="AH3" s="132"/>
      <c r="AI3" s="132"/>
      <c r="AJ3" s="132"/>
      <c r="AK3" s="132"/>
      <c r="AL3" s="132"/>
      <c r="AM3" s="132"/>
      <c r="AN3" s="132"/>
      <c r="AO3" s="132"/>
      <c r="AP3" s="132"/>
      <c r="AQ3" s="132"/>
      <c r="AR3" s="132"/>
      <c r="AS3" s="132"/>
      <c r="AT3" s="132"/>
      <c r="AU3" s="132"/>
      <c r="AV3" s="132"/>
      <c r="AW3" s="132"/>
      <c r="AX3" s="132"/>
      <c r="AY3" s="132"/>
      <c r="AZ3" s="132"/>
      <c r="BA3" s="132"/>
      <c r="BB3" s="132"/>
      <c r="BC3" s="132"/>
      <c r="BD3" s="132"/>
      <c r="BE3" s="132"/>
      <c r="BF3" s="132"/>
      <c r="BG3" s="132"/>
      <c r="BH3" s="132"/>
      <c r="BI3" s="132"/>
      <c r="BJ3" s="132"/>
      <c r="BK3" s="132"/>
      <c r="BL3" s="132"/>
      <c r="BM3" s="132"/>
      <c r="BN3" s="132"/>
      <c r="BO3" s="132"/>
      <c r="BP3" s="132"/>
      <c r="BQ3" s="132"/>
      <c r="BR3" s="132"/>
      <c r="BS3" s="132"/>
      <c r="BT3" s="132"/>
      <c r="BU3" s="132"/>
      <c r="BV3" s="132"/>
      <c r="BW3" s="132"/>
      <c r="BX3" s="132"/>
      <c r="BY3" s="132"/>
      <c r="BZ3" s="132"/>
      <c r="CA3" s="132"/>
      <c r="CB3" s="132"/>
      <c r="CC3" s="132"/>
      <c r="CD3" s="132"/>
      <c r="CE3" s="132"/>
      <c r="CF3" s="132"/>
      <c r="CG3" s="132"/>
      <c r="CH3" s="132"/>
      <c r="CI3" s="132"/>
      <c r="CJ3" s="132"/>
      <c r="CK3" s="132"/>
      <c r="CL3" s="132"/>
      <c r="CM3" s="132"/>
      <c r="CN3" s="132"/>
      <c r="CO3" s="132"/>
      <c r="CP3" s="132"/>
      <c r="CQ3" s="132"/>
      <c r="CR3" s="132"/>
      <c r="CS3" s="132"/>
      <c r="CT3" s="132"/>
      <c r="CU3" s="132"/>
      <c r="CV3" s="132"/>
      <c r="CW3" s="132"/>
      <c r="CX3" s="132"/>
      <c r="CY3" s="132"/>
      <c r="CZ3" s="132"/>
      <c r="DA3" s="132"/>
      <c r="DB3" s="132"/>
      <c r="DC3" s="132"/>
      <c r="DD3" s="132"/>
      <c r="DE3" s="132"/>
      <c r="DF3" s="132"/>
      <c r="DG3" s="132"/>
      <c r="DH3" s="132"/>
      <c r="DI3" s="132"/>
      <c r="DJ3" s="132"/>
      <c r="DK3" s="132"/>
      <c r="DL3" s="132"/>
      <c r="DM3" s="132"/>
      <c r="DN3" s="132"/>
      <c r="DO3" s="132"/>
      <c r="DP3" s="132"/>
      <c r="DQ3" s="132"/>
      <c r="DR3" s="132"/>
      <c r="DS3" s="132"/>
      <c r="DT3" s="132"/>
      <c r="DU3" s="132"/>
      <c r="DV3" s="132"/>
      <c r="DW3" s="132"/>
      <c r="DX3" s="132"/>
      <c r="DY3" s="132"/>
      <c r="DZ3" s="132"/>
      <c r="EA3" s="132"/>
      <c r="EB3" s="132"/>
      <c r="EC3" s="132"/>
      <c r="ED3" s="132"/>
      <c r="EE3" s="132"/>
      <c r="EF3" s="132"/>
      <c r="EG3" s="132"/>
      <c r="EH3" s="132"/>
      <c r="EI3" s="132"/>
      <c r="EJ3" s="132"/>
      <c r="EK3" s="132"/>
      <c r="EL3" s="132"/>
      <c r="EM3" s="132"/>
      <c r="EN3" s="132"/>
      <c r="EO3" s="132"/>
      <c r="EP3" s="132"/>
      <c r="EQ3" s="132"/>
      <c r="ER3" s="132"/>
      <c r="ES3" s="132"/>
      <c r="ET3" s="132"/>
      <c r="EU3" s="132"/>
      <c r="EV3" s="132"/>
      <c r="EW3" s="132"/>
      <c r="EX3" s="132"/>
      <c r="EY3" s="132"/>
      <c r="EZ3" s="132"/>
      <c r="FA3" s="132"/>
      <c r="FB3" s="132"/>
      <c r="FC3" s="132"/>
      <c r="FD3" s="132"/>
      <c r="FE3" s="132"/>
      <c r="FF3" s="132"/>
      <c r="FG3" s="132"/>
      <c r="FH3" s="132"/>
      <c r="FI3" s="132"/>
      <c r="FJ3" s="132"/>
      <c r="FK3" s="132"/>
      <c r="FL3" s="132"/>
      <c r="FM3" s="132"/>
      <c r="FN3" s="132"/>
      <c r="FO3" s="132"/>
      <c r="FP3" s="132"/>
      <c r="FQ3" s="132"/>
      <c r="FR3" s="132"/>
      <c r="FS3" s="132"/>
      <c r="FT3" s="132"/>
      <c r="FU3" s="132"/>
      <c r="FV3" s="132"/>
      <c r="FW3" s="132"/>
      <c r="FX3" s="132"/>
      <c r="FY3" s="132"/>
      <c r="FZ3" s="132"/>
      <c r="GA3" s="132"/>
      <c r="GB3" s="132"/>
      <c r="GC3" s="132"/>
      <c r="GD3" s="132"/>
      <c r="GE3" s="132"/>
      <c r="GF3" s="132"/>
      <c r="GG3" s="132"/>
      <c r="GH3" s="132"/>
      <c r="GI3" s="132"/>
      <c r="GJ3" s="132"/>
      <c r="GK3" s="132"/>
      <c r="GL3" s="132"/>
      <c r="GM3" s="132"/>
      <c r="GN3" s="132"/>
      <c r="GO3" s="132"/>
      <c r="GP3" s="132"/>
      <c r="GQ3" s="132"/>
      <c r="GR3" s="132"/>
      <c r="GS3" s="132"/>
      <c r="GT3" s="132"/>
      <c r="GU3" s="132"/>
      <c r="GV3" s="132"/>
      <c r="GW3" s="132"/>
      <c r="GX3" s="132"/>
      <c r="GY3" s="132"/>
      <c r="GZ3" s="132"/>
      <c r="HA3" s="132"/>
      <c r="HB3" s="132"/>
      <c r="HC3" s="132"/>
      <c r="HD3" s="132"/>
      <c r="HE3" s="132"/>
      <c r="HF3" s="132"/>
      <c r="HG3" s="132"/>
      <c r="HH3" s="132"/>
      <c r="HI3" s="132"/>
      <c r="HJ3" s="132"/>
      <c r="HK3" s="132"/>
      <c r="HL3" s="132"/>
      <c r="HM3" s="132"/>
      <c r="HN3" s="132"/>
      <c r="HO3" s="132"/>
      <c r="HP3" s="132"/>
      <c r="HQ3" s="132"/>
      <c r="HR3" s="132"/>
      <c r="HS3" s="132"/>
      <c r="HT3" s="132"/>
      <c r="HU3" s="132"/>
      <c r="HV3" s="132"/>
      <c r="HW3" s="132"/>
      <c r="HX3" s="132"/>
      <c r="HY3" s="132"/>
      <c r="HZ3" s="132"/>
      <c r="IA3" s="132"/>
      <c r="IB3" s="132"/>
      <c r="IC3" s="132"/>
      <c r="ID3" s="132"/>
      <c r="IE3" s="132"/>
      <c r="IF3" s="132"/>
      <c r="IG3" s="132"/>
      <c r="IH3" s="132"/>
      <c r="II3" s="132"/>
      <c r="IJ3" s="132"/>
      <c r="IK3" s="132"/>
      <c r="IL3" s="132"/>
      <c r="IM3" s="132"/>
      <c r="IN3" s="132"/>
      <c r="IO3" s="132"/>
      <c r="IP3" s="132"/>
      <c r="IQ3" s="132"/>
      <c r="IR3" s="132"/>
      <c r="IS3" s="132"/>
      <c r="IT3" s="132"/>
      <c r="IU3" s="132"/>
      <c r="IV3" s="132"/>
      <c r="IW3" s="132"/>
      <c r="IX3" s="132"/>
      <c r="IY3" s="132"/>
      <c r="IZ3" s="132"/>
      <c r="JA3" s="132"/>
      <c r="JB3" s="132"/>
      <c r="JC3" s="132"/>
      <c r="JD3" s="132"/>
      <c r="JE3" s="132"/>
      <c r="JF3" s="132"/>
      <c r="JG3" s="132"/>
      <c r="JH3" s="132"/>
      <c r="JI3" s="132"/>
      <c r="JJ3" s="132"/>
      <c r="JK3" s="132"/>
      <c r="JL3" s="132"/>
      <c r="JM3" s="132"/>
      <c r="JN3" s="132"/>
      <c r="JO3" s="132"/>
      <c r="JP3" s="132"/>
      <c r="JQ3" s="132"/>
      <c r="JR3" s="132"/>
      <c r="JS3" s="132"/>
      <c r="JT3" s="132"/>
      <c r="JU3" s="132"/>
      <c r="JV3" s="132"/>
      <c r="JW3" s="132"/>
      <c r="JX3" s="132"/>
      <c r="JY3" s="132"/>
      <c r="JZ3" s="132"/>
      <c r="KA3" s="132"/>
      <c r="KB3" s="132"/>
      <c r="KC3" s="132"/>
      <c r="KD3" s="132"/>
      <c r="KE3" s="132"/>
      <c r="KF3" s="132"/>
      <c r="KG3" s="132"/>
      <c r="KH3" s="132"/>
      <c r="KI3" s="132"/>
      <c r="KJ3" s="132"/>
      <c r="KK3" s="132"/>
      <c r="KL3" s="132"/>
      <c r="KM3" s="132"/>
      <c r="KN3" s="132"/>
      <c r="KO3" s="132"/>
      <c r="KP3" s="132"/>
      <c r="KQ3" s="132"/>
      <c r="KR3" s="132"/>
      <c r="KS3" s="132"/>
      <c r="KT3" s="132"/>
      <c r="KU3" s="132"/>
      <c r="KV3" s="132"/>
      <c r="KW3" s="132"/>
      <c r="KX3" s="132"/>
      <c r="KY3" s="132"/>
      <c r="KZ3" s="132"/>
      <c r="LA3" s="132"/>
      <c r="LB3" s="132"/>
      <c r="LC3" s="132"/>
      <c r="LD3" s="132"/>
      <c r="LE3" s="132"/>
      <c r="LF3" s="132"/>
      <c r="LG3" s="132"/>
      <c r="LH3" s="132"/>
      <c r="LI3" s="132"/>
      <c r="LJ3" s="132"/>
      <c r="LK3" s="132"/>
      <c r="LL3" s="132"/>
      <c r="LM3" s="132"/>
      <c r="LN3" s="132"/>
      <c r="LO3" s="132"/>
      <c r="LP3" s="132"/>
      <c r="LQ3" s="132"/>
      <c r="LR3" s="132"/>
      <c r="LS3" s="132"/>
      <c r="LT3" s="132"/>
      <c r="LU3" s="132"/>
      <c r="LV3" s="132"/>
      <c r="LW3" s="132"/>
      <c r="LX3" s="132"/>
      <c r="LY3" s="132"/>
      <c r="LZ3" s="132"/>
      <c r="MA3" s="132"/>
      <c r="MB3" s="132"/>
      <c r="MC3" s="132"/>
      <c r="MD3" s="132"/>
      <c r="ME3" s="132"/>
      <c r="MF3" s="132"/>
      <c r="MG3" s="132"/>
      <c r="MH3" s="132"/>
      <c r="MI3" s="132"/>
      <c r="MJ3" s="132"/>
      <c r="MK3" s="132"/>
      <c r="ML3" s="132"/>
      <c r="MM3" s="132"/>
      <c r="MN3" s="132"/>
      <c r="MO3" s="132"/>
      <c r="MP3" s="132"/>
      <c r="MQ3" s="132"/>
      <c r="MR3" s="132"/>
      <c r="MS3" s="132"/>
      <c r="MT3" s="132"/>
      <c r="MU3" s="132"/>
      <c r="MV3" s="132"/>
      <c r="MW3" s="132"/>
      <c r="MX3" s="132"/>
      <c r="MY3" s="132"/>
      <c r="MZ3" s="132"/>
      <c r="NA3" s="132"/>
      <c r="NB3" s="132"/>
      <c r="NC3" s="132"/>
      <c r="ND3" s="132"/>
      <c r="NE3" s="132"/>
      <c r="NF3" s="132"/>
      <c r="NG3" s="132"/>
      <c r="NH3" s="132"/>
      <c r="NI3" s="132"/>
      <c r="NJ3" s="132"/>
      <c r="NK3" s="132"/>
      <c r="NL3" s="132"/>
      <c r="NM3" s="132"/>
      <c r="NN3" s="132"/>
      <c r="NO3" s="132"/>
      <c r="NP3" s="132"/>
      <c r="NQ3" s="132"/>
      <c r="NR3" s="132"/>
      <c r="NS3" s="132"/>
      <c r="NT3" s="132"/>
      <c r="NU3" s="132"/>
      <c r="NV3" s="132"/>
      <c r="NW3" s="132"/>
      <c r="NX3" s="132"/>
      <c r="NY3" s="132"/>
      <c r="NZ3" s="132"/>
      <c r="OA3" s="132"/>
      <c r="OB3" s="132"/>
      <c r="OC3" s="132"/>
      <c r="OD3" s="132"/>
      <c r="OE3" s="132"/>
      <c r="OF3" s="132"/>
      <c r="OG3" s="132"/>
      <c r="OH3" s="132"/>
      <c r="OI3" s="132"/>
      <c r="OJ3" s="132"/>
      <c r="OK3" s="132"/>
      <c r="OL3" s="132"/>
      <c r="OM3" s="132"/>
      <c r="ON3" s="132"/>
      <c r="OO3" s="132"/>
      <c r="OP3" s="132"/>
      <c r="OQ3" s="132"/>
      <c r="OR3" s="132"/>
      <c r="OS3" s="132"/>
      <c r="OT3" s="132"/>
      <c r="OU3" s="132"/>
      <c r="OV3" s="132"/>
      <c r="OW3" s="132"/>
      <c r="OX3" s="132"/>
      <c r="OY3" s="132"/>
      <c r="OZ3" s="132"/>
      <c r="PA3" s="132"/>
      <c r="PB3" s="132"/>
      <c r="PC3" s="132"/>
      <c r="PD3" s="132"/>
      <c r="PE3" s="132"/>
      <c r="PF3" s="132"/>
      <c r="PG3" s="132"/>
      <c r="PH3" s="132"/>
      <c r="PI3" s="132"/>
      <c r="PJ3" s="132"/>
      <c r="PK3" s="132"/>
      <c r="PL3" s="132"/>
      <c r="PM3" s="132"/>
      <c r="PN3" s="132"/>
      <c r="PO3" s="132"/>
      <c r="PP3" s="132"/>
      <c r="PQ3" s="132"/>
      <c r="PR3" s="132"/>
      <c r="PS3" s="132"/>
      <c r="PT3" s="132"/>
      <c r="PU3" s="132"/>
      <c r="PV3" s="132"/>
      <c r="PW3" s="132"/>
      <c r="PX3" s="132"/>
      <c r="PY3" s="132"/>
      <c r="PZ3" s="132"/>
      <c r="QA3" s="132"/>
      <c r="QB3" s="132"/>
      <c r="QC3" s="132"/>
      <c r="QD3" s="132"/>
      <c r="QE3" s="132"/>
      <c r="QF3" s="132"/>
      <c r="QG3" s="132"/>
      <c r="QH3" s="132"/>
      <c r="QI3" s="132"/>
      <c r="QJ3" s="132"/>
      <c r="QK3" s="132"/>
      <c r="QL3" s="132"/>
      <c r="QM3" s="132"/>
      <c r="QN3" s="132"/>
      <c r="QO3" s="132"/>
      <c r="QP3" s="132"/>
      <c r="QQ3" s="132"/>
      <c r="QR3" s="132"/>
      <c r="QS3" s="132"/>
      <c r="QT3" s="132"/>
      <c r="QU3" s="132"/>
      <c r="QV3" s="132"/>
      <c r="QW3" s="132"/>
      <c r="QX3" s="132"/>
      <c r="QY3" s="132"/>
      <c r="QZ3" s="132"/>
      <c r="RA3" s="132"/>
      <c r="RB3" s="132"/>
      <c r="RC3" s="132"/>
      <c r="RD3" s="132"/>
      <c r="RE3" s="132"/>
      <c r="RF3" s="132"/>
      <c r="RG3" s="132"/>
      <c r="RH3" s="132"/>
      <c r="RI3" s="132"/>
      <c r="RJ3" s="132"/>
      <c r="RK3" s="132"/>
      <c r="RL3" s="132"/>
      <c r="RM3" s="132"/>
      <c r="RN3" s="132"/>
      <c r="RO3" s="132"/>
      <c r="RP3" s="132"/>
      <c r="RQ3" s="132"/>
      <c r="RR3" s="132"/>
      <c r="RS3" s="132"/>
      <c r="RT3" s="132"/>
      <c r="RU3" s="132"/>
      <c r="RV3" s="132"/>
      <c r="RW3" s="132"/>
      <c r="RX3" s="132"/>
      <c r="RY3" s="132"/>
      <c r="RZ3" s="132"/>
      <c r="SA3" s="132"/>
      <c r="SB3" s="132"/>
      <c r="SC3" s="132"/>
      <c r="SD3" s="132"/>
      <c r="SE3" s="132"/>
      <c r="SF3" s="132"/>
      <c r="SG3" s="132"/>
      <c r="SH3" s="132"/>
      <c r="SI3" s="132"/>
      <c r="SJ3" s="132"/>
      <c r="SK3" s="132"/>
      <c r="SL3" s="132"/>
      <c r="SM3" s="132"/>
      <c r="SN3" s="132"/>
      <c r="SO3" s="132"/>
      <c r="SP3" s="132"/>
      <c r="SQ3" s="132"/>
      <c r="SR3" s="132"/>
      <c r="SS3" s="132"/>
      <c r="ST3" s="132"/>
      <c r="SU3" s="132"/>
      <c r="SV3" s="132"/>
      <c r="SW3" s="132"/>
      <c r="SX3" s="132"/>
      <c r="SY3" s="132"/>
      <c r="SZ3" s="132"/>
      <c r="TA3" s="132"/>
      <c r="TB3" s="132"/>
      <c r="TC3" s="132"/>
      <c r="TD3" s="132"/>
      <c r="TE3" s="132"/>
      <c r="TF3" s="132"/>
      <c r="TG3" s="132"/>
      <c r="TH3" s="132"/>
      <c r="TI3" s="132"/>
      <c r="TJ3" s="132"/>
      <c r="TK3" s="132"/>
      <c r="TL3" s="132"/>
      <c r="TM3" s="132"/>
      <c r="TN3" s="132"/>
      <c r="TO3" s="132"/>
      <c r="TP3" s="132"/>
      <c r="TQ3" s="132"/>
      <c r="TR3" s="132"/>
      <c r="TS3" s="132"/>
      <c r="TT3" s="132"/>
      <c r="TU3" s="132"/>
      <c r="TV3" s="132"/>
      <c r="TW3" s="132"/>
      <c r="TX3" s="132"/>
      <c r="TY3" s="132"/>
      <c r="TZ3" s="132"/>
      <c r="UA3" s="132"/>
      <c r="UB3" s="132"/>
      <c r="UC3" s="132"/>
      <c r="UD3" s="132"/>
      <c r="UE3" s="132"/>
      <c r="UF3" s="132"/>
      <c r="UG3" s="132"/>
      <c r="UH3" s="132"/>
      <c r="UI3" s="132"/>
      <c r="UJ3" s="132"/>
      <c r="UK3" s="132"/>
      <c r="UL3" s="132"/>
      <c r="UM3" s="132"/>
      <c r="UN3" s="132"/>
      <c r="UO3" s="132"/>
      <c r="UP3" s="132"/>
      <c r="UQ3" s="132"/>
      <c r="UR3" s="132"/>
      <c r="US3" s="132"/>
      <c r="UT3" s="132"/>
      <c r="UU3" s="132"/>
      <c r="UV3" s="132"/>
      <c r="UW3" s="132"/>
      <c r="UX3" s="132"/>
      <c r="UY3" s="132"/>
      <c r="UZ3" s="132"/>
      <c r="VA3" s="132"/>
      <c r="VB3" s="132"/>
      <c r="VC3" s="132"/>
      <c r="VD3" s="132"/>
      <c r="VE3" s="132"/>
      <c r="VF3" s="132"/>
      <c r="VG3" s="132"/>
      <c r="VH3" s="132"/>
      <c r="VI3" s="132"/>
      <c r="VJ3" s="132"/>
      <c r="VK3" s="132"/>
      <c r="VL3" s="132"/>
      <c r="VM3" s="132"/>
      <c r="VN3" s="132"/>
      <c r="VO3" s="132"/>
      <c r="VP3" s="132"/>
      <c r="VQ3" s="132"/>
      <c r="VR3" s="132"/>
      <c r="VS3" s="132"/>
      <c r="VT3" s="132"/>
      <c r="VU3" s="132"/>
      <c r="VV3" s="132"/>
      <c r="VW3" s="132"/>
      <c r="VX3" s="132"/>
      <c r="VY3" s="132"/>
      <c r="VZ3" s="132"/>
      <c r="WA3" s="132"/>
      <c r="WB3" s="132"/>
      <c r="WC3" s="132"/>
      <c r="WD3" s="132"/>
      <c r="WE3" s="132"/>
      <c r="WF3" s="132"/>
      <c r="WG3" s="132"/>
      <c r="WH3" s="132"/>
      <c r="WI3" s="132"/>
      <c r="WJ3" s="132"/>
      <c r="WK3" s="132"/>
      <c r="WL3" s="132"/>
      <c r="WM3" s="132"/>
      <c r="WN3" s="132"/>
      <c r="WO3" s="132"/>
      <c r="WP3" s="132"/>
      <c r="WQ3" s="132"/>
      <c r="WR3" s="132"/>
      <c r="WS3" s="132"/>
      <c r="WT3" s="132"/>
      <c r="WU3" s="132"/>
      <c r="WV3" s="132"/>
      <c r="WW3" s="132"/>
      <c r="WX3" s="132"/>
      <c r="WY3" s="132"/>
      <c r="WZ3" s="132"/>
      <c r="XA3" s="132"/>
      <c r="XB3" s="132"/>
      <c r="XC3" s="132"/>
      <c r="XD3" s="132"/>
      <c r="XE3" s="132"/>
      <c r="XF3" s="132"/>
      <c r="XG3" s="132"/>
      <c r="XH3" s="132"/>
      <c r="XI3" s="132"/>
      <c r="XJ3" s="132"/>
      <c r="XK3" s="132"/>
      <c r="XL3" s="132"/>
      <c r="XM3" s="132"/>
      <c r="XN3" s="132"/>
      <c r="XO3" s="132"/>
      <c r="XP3" s="132"/>
      <c r="XQ3" s="132"/>
      <c r="XR3" s="132"/>
      <c r="XS3" s="132"/>
      <c r="XT3" s="132"/>
      <c r="XU3" s="132"/>
      <c r="XV3" s="132"/>
      <c r="XW3" s="132"/>
      <c r="XX3" s="132"/>
      <c r="XY3" s="132"/>
      <c r="XZ3" s="132"/>
      <c r="YA3" s="132"/>
      <c r="YB3" s="132"/>
      <c r="YC3" s="132"/>
      <c r="YD3" s="132"/>
      <c r="YE3" s="132"/>
      <c r="YF3" s="132"/>
      <c r="YG3" s="132"/>
      <c r="YH3" s="132"/>
      <c r="YI3" s="132"/>
      <c r="YJ3" s="132"/>
      <c r="YK3" s="132"/>
      <c r="YL3" s="132"/>
      <c r="YM3" s="132"/>
      <c r="YN3" s="132"/>
      <c r="YO3" s="132"/>
      <c r="YP3" s="132"/>
      <c r="YQ3" s="132"/>
      <c r="YR3" s="132"/>
      <c r="YS3" s="132"/>
      <c r="YT3" s="132"/>
      <c r="YU3" s="132"/>
      <c r="YV3" s="132"/>
      <c r="YW3" s="132"/>
      <c r="YX3" s="132"/>
      <c r="YY3" s="132"/>
      <c r="YZ3" s="132"/>
      <c r="ZA3" s="132"/>
      <c r="ZB3" s="132"/>
      <c r="ZC3" s="132"/>
      <c r="ZD3" s="132"/>
      <c r="ZE3" s="132"/>
      <c r="ZF3" s="132"/>
      <c r="ZG3" s="132"/>
      <c r="ZH3" s="132"/>
      <c r="ZI3" s="132"/>
      <c r="ZJ3" s="132"/>
      <c r="ZK3" s="132"/>
      <c r="ZL3" s="132"/>
      <c r="ZM3" s="132"/>
      <c r="ZN3" s="132"/>
      <c r="ZO3" s="132"/>
      <c r="ZP3" s="132"/>
      <c r="ZQ3" s="132"/>
      <c r="ZR3" s="132"/>
      <c r="ZS3" s="132"/>
      <c r="ZT3" s="132"/>
      <c r="ZU3" s="132"/>
      <c r="ZV3" s="132"/>
      <c r="ZW3" s="132"/>
      <c r="ZX3" s="132"/>
      <c r="ZY3" s="132"/>
      <c r="ZZ3" s="132"/>
      <c r="AAA3" s="132"/>
      <c r="AAB3" s="132"/>
      <c r="AAC3" s="132"/>
      <c r="AAD3" s="132"/>
      <c r="AAE3" s="132"/>
      <c r="AAF3" s="132"/>
      <c r="AAG3" s="132"/>
      <c r="AAH3" s="132"/>
      <c r="AAI3" s="132"/>
      <c r="AAJ3" s="132"/>
      <c r="AAK3" s="132"/>
      <c r="AAL3" s="132"/>
      <c r="AAM3" s="132"/>
      <c r="AAN3" s="132"/>
      <c r="AAO3" s="132"/>
      <c r="AAP3" s="132"/>
      <c r="AAQ3" s="132"/>
      <c r="AAR3" s="132"/>
      <c r="AAS3" s="132"/>
      <c r="AAT3" s="132"/>
      <c r="AAU3" s="132"/>
      <c r="AAV3" s="132"/>
      <c r="AAW3" s="132"/>
      <c r="AAX3" s="132"/>
      <c r="AAY3" s="132"/>
      <c r="AAZ3" s="132"/>
      <c r="ABA3" s="132"/>
      <c r="ABB3" s="132"/>
      <c r="ABC3" s="132"/>
      <c r="ABD3" s="132"/>
      <c r="ABE3" s="132"/>
      <c r="ABF3" s="132"/>
      <c r="ABG3" s="132"/>
      <c r="ABH3" s="132"/>
      <c r="ABI3" s="132"/>
      <c r="ABJ3" s="132"/>
      <c r="ABK3" s="132"/>
      <c r="ABL3" s="132"/>
      <c r="ABM3" s="132"/>
      <c r="ABN3" s="132"/>
      <c r="ABO3" s="132"/>
      <c r="ABP3" s="132"/>
      <c r="ABQ3" s="132"/>
      <c r="ABR3" s="132"/>
      <c r="ABS3" s="132"/>
      <c r="ABT3" s="132"/>
      <c r="ABU3" s="132"/>
      <c r="ABV3" s="132"/>
      <c r="ABW3" s="132"/>
      <c r="ABX3" s="132"/>
      <c r="ABY3" s="132"/>
      <c r="ABZ3" s="132"/>
      <c r="ACA3" s="132"/>
      <c r="ACB3" s="132"/>
      <c r="ACC3" s="132"/>
      <c r="ACD3" s="132"/>
      <c r="ACE3" s="132"/>
      <c r="ACF3" s="132"/>
      <c r="ACG3" s="132"/>
      <c r="ACH3" s="132"/>
      <c r="ACI3" s="132"/>
      <c r="ACJ3" s="132"/>
      <c r="ACK3" s="132"/>
      <c r="ACL3" s="132"/>
      <c r="ACM3" s="132"/>
      <c r="ACN3" s="132"/>
      <c r="ACO3" s="132"/>
      <c r="ACP3" s="132"/>
      <c r="ACQ3" s="132"/>
      <c r="ACR3" s="132"/>
      <c r="ACS3" s="132"/>
      <c r="ACT3" s="132"/>
      <c r="ACU3" s="132"/>
      <c r="ACV3" s="132"/>
      <c r="ACW3" s="132"/>
      <c r="ACX3" s="132"/>
      <c r="ACY3" s="132"/>
      <c r="ACZ3" s="132"/>
      <c r="ADA3" s="132"/>
      <c r="ADB3" s="132"/>
      <c r="ADC3" s="132"/>
      <c r="ADD3" s="132"/>
      <c r="ADE3" s="132"/>
      <c r="ADF3" s="132"/>
      <c r="ADG3" s="132"/>
      <c r="ADH3" s="132"/>
      <c r="ADI3" s="132"/>
      <c r="ADJ3" s="132"/>
      <c r="ADK3" s="132"/>
      <c r="ADL3" s="132"/>
      <c r="ADM3" s="132"/>
      <c r="ADN3" s="132"/>
      <c r="ADO3" s="132"/>
      <c r="ADP3" s="132"/>
      <c r="ADQ3" s="132"/>
      <c r="ADR3" s="132"/>
      <c r="ADS3" s="132"/>
      <c r="ADT3" s="132"/>
      <c r="ADU3" s="132"/>
      <c r="ADV3" s="132"/>
      <c r="ADW3" s="132"/>
      <c r="ADX3" s="132"/>
      <c r="ADY3" s="132"/>
      <c r="ADZ3" s="132"/>
      <c r="AEA3" s="132"/>
      <c r="AEB3" s="132"/>
      <c r="AEC3" s="132"/>
      <c r="AED3" s="132"/>
      <c r="AEE3" s="132"/>
      <c r="AEF3" s="132"/>
      <c r="AEG3" s="132"/>
      <c r="AEH3" s="132"/>
      <c r="AEI3" s="132"/>
      <c r="AEJ3" s="132"/>
      <c r="AEK3" s="132"/>
      <c r="AEL3" s="132"/>
      <c r="AEM3" s="132"/>
      <c r="AEN3" s="132"/>
      <c r="AEO3" s="132"/>
      <c r="AEP3" s="132"/>
      <c r="AEQ3" s="132"/>
      <c r="AER3" s="132"/>
      <c r="AES3" s="132"/>
      <c r="AET3" s="132"/>
      <c r="AEU3" s="132"/>
      <c r="AEV3" s="132"/>
      <c r="AEW3" s="132"/>
      <c r="AEX3" s="132"/>
      <c r="AEY3" s="132"/>
      <c r="AEZ3" s="132"/>
      <c r="AFA3" s="132"/>
      <c r="AFB3" s="132"/>
      <c r="AFC3" s="132"/>
      <c r="AFD3" s="132"/>
      <c r="AFE3" s="132"/>
      <c r="AFF3" s="132"/>
      <c r="AFG3" s="132"/>
      <c r="AFH3" s="132"/>
      <c r="AFI3" s="132"/>
      <c r="AFJ3" s="132"/>
      <c r="AFK3" s="132"/>
      <c r="AFL3" s="132"/>
      <c r="AFM3" s="132"/>
      <c r="AFN3" s="132"/>
      <c r="AFO3" s="132"/>
      <c r="AFP3" s="132"/>
      <c r="AFQ3" s="132"/>
      <c r="AFR3" s="132"/>
      <c r="AFS3" s="132"/>
      <c r="AFT3" s="132"/>
      <c r="AFU3" s="132"/>
      <c r="AFV3" s="132"/>
      <c r="AFW3" s="132"/>
      <c r="AFX3" s="132"/>
      <c r="AFY3" s="132"/>
      <c r="AFZ3" s="132"/>
      <c r="AGA3" s="132"/>
      <c r="AGB3" s="132"/>
      <c r="AGC3" s="132"/>
      <c r="AGD3" s="132"/>
      <c r="AGE3" s="132"/>
      <c r="AGF3" s="132"/>
      <c r="AGG3" s="132"/>
      <c r="AGH3" s="132"/>
      <c r="AGI3" s="132"/>
      <c r="AGJ3" s="132"/>
      <c r="AGK3" s="132"/>
      <c r="AGL3" s="132"/>
      <c r="AGM3" s="132"/>
      <c r="AGN3" s="132"/>
      <c r="AGO3" s="132"/>
      <c r="AGP3" s="132"/>
      <c r="AGQ3" s="132"/>
      <c r="AGR3" s="132"/>
      <c r="AGS3" s="132"/>
      <c r="AGT3" s="132"/>
      <c r="AGU3" s="132"/>
      <c r="AGV3" s="132"/>
      <c r="AGW3" s="132"/>
      <c r="AGX3" s="132"/>
      <c r="AGY3" s="132"/>
      <c r="AGZ3" s="132"/>
      <c r="AHA3" s="132"/>
      <c r="AHB3" s="132"/>
      <c r="AHC3" s="132"/>
      <c r="AHD3" s="132"/>
      <c r="AHE3" s="132"/>
      <c r="AHF3" s="132"/>
      <c r="AHG3" s="132"/>
      <c r="AHH3" s="132"/>
      <c r="AHI3" s="132"/>
      <c r="AHJ3" s="132"/>
      <c r="AHK3" s="132"/>
      <c r="AHL3" s="132"/>
      <c r="AHM3" s="132"/>
      <c r="AHN3" s="132"/>
      <c r="AHO3" s="132"/>
      <c r="AHP3" s="132"/>
      <c r="AHQ3" s="132"/>
      <c r="AHR3" s="132"/>
      <c r="AHS3" s="132"/>
      <c r="AHT3" s="132"/>
      <c r="AHU3" s="132"/>
      <c r="AHV3" s="132"/>
      <c r="AHW3" s="132"/>
      <c r="AHX3" s="132"/>
      <c r="AHY3" s="132"/>
      <c r="AHZ3" s="132"/>
      <c r="AIA3" s="132"/>
      <c r="AIB3" s="132"/>
      <c r="AIC3" s="132"/>
      <c r="AID3" s="132"/>
      <c r="AIE3" s="132"/>
      <c r="AIF3" s="132"/>
      <c r="AIG3" s="132"/>
      <c r="AIH3" s="132"/>
      <c r="AII3" s="132"/>
      <c r="AIJ3" s="132"/>
      <c r="AIK3" s="132"/>
      <c r="AIL3" s="132"/>
      <c r="AIM3" s="132"/>
      <c r="AIN3" s="132"/>
      <c r="AIO3" s="132"/>
      <c r="AIP3" s="132"/>
      <c r="AIQ3" s="132"/>
      <c r="AIR3" s="132"/>
      <c r="AIS3" s="132"/>
      <c r="AIT3" s="132"/>
      <c r="AIU3" s="132"/>
      <c r="AIV3" s="132"/>
      <c r="AIW3" s="132"/>
      <c r="AIX3" s="132"/>
      <c r="AIY3" s="132"/>
      <c r="AIZ3" s="132"/>
      <c r="AJA3" s="132"/>
      <c r="AJB3" s="132"/>
      <c r="AJC3" s="132"/>
      <c r="AJD3" s="132"/>
      <c r="AJE3" s="132"/>
      <c r="AJF3" s="132"/>
      <c r="AJG3" s="132"/>
      <c r="AJH3" s="132"/>
      <c r="AJI3" s="132"/>
      <c r="AJJ3" s="132"/>
      <c r="AJK3" s="132"/>
      <c r="AJL3" s="132"/>
      <c r="AJM3" s="132"/>
      <c r="AJN3" s="132"/>
      <c r="AJO3" s="132"/>
      <c r="AJP3" s="132"/>
      <c r="AJQ3" s="132"/>
      <c r="AJR3" s="132"/>
      <c r="AJS3" s="132"/>
      <c r="AJT3" s="132"/>
      <c r="AJU3" s="132"/>
      <c r="AJV3" s="132"/>
      <c r="AJW3" s="132"/>
      <c r="AJX3" s="132"/>
      <c r="AJY3" s="132"/>
      <c r="AJZ3" s="132"/>
      <c r="AKA3" s="132"/>
      <c r="AKB3" s="132"/>
      <c r="AKC3" s="132"/>
      <c r="AKD3" s="132"/>
      <c r="AKE3" s="132"/>
      <c r="AKF3" s="132"/>
      <c r="AKG3" s="132"/>
      <c r="AKH3" s="132"/>
      <c r="AKI3" s="132"/>
      <c r="AKJ3" s="132"/>
      <c r="AKK3" s="132"/>
      <c r="AKL3" s="132"/>
      <c r="AKM3" s="132"/>
      <c r="AKN3" s="132"/>
      <c r="AKO3" s="132"/>
      <c r="AKP3" s="132"/>
      <c r="AKQ3" s="132"/>
      <c r="AKR3" s="132"/>
      <c r="AKS3" s="132"/>
      <c r="AKT3" s="132"/>
      <c r="AKU3" s="132"/>
      <c r="AKV3" s="132"/>
      <c r="AKW3" s="132"/>
      <c r="AKX3" s="132"/>
      <c r="AKY3" s="132"/>
      <c r="AKZ3" s="132"/>
      <c r="ALA3" s="132"/>
      <c r="ALB3" s="132"/>
      <c r="ALC3" s="132"/>
      <c r="ALD3" s="132"/>
      <c r="ALE3" s="132"/>
      <c r="ALF3" s="132"/>
      <c r="ALG3" s="132"/>
      <c r="ALH3" s="132"/>
      <c r="ALI3" s="132"/>
      <c r="ALJ3" s="132"/>
      <c r="ALK3" s="132"/>
      <c r="ALL3" s="132"/>
      <c r="ALM3" s="132"/>
      <c r="ALN3" s="132"/>
      <c r="ALO3" s="132"/>
      <c r="ALP3" s="132"/>
      <c r="ALQ3" s="132"/>
      <c r="ALR3" s="132"/>
      <c r="ALS3" s="132"/>
      <c r="ALT3" s="132"/>
      <c r="ALU3" s="132"/>
      <c r="ALV3" s="132"/>
      <c r="ALW3" s="132"/>
      <c r="ALX3" s="132"/>
      <c r="ALY3" s="132"/>
      <c r="ALZ3" s="132"/>
      <c r="AMA3" s="132"/>
      <c r="AMB3" s="132"/>
      <c r="AMC3" s="132"/>
      <c r="AMD3" s="132"/>
      <c r="AME3" s="132"/>
      <c r="AMF3" s="132"/>
      <c r="AMG3" s="132"/>
      <c r="AMH3" s="132"/>
      <c r="AMI3" s="132"/>
      <c r="AMJ3" s="132"/>
      <c r="AMK3" s="132"/>
      <c r="AML3" s="132"/>
      <c r="AMM3" s="132"/>
      <c r="AMN3" s="132"/>
      <c r="AMO3" s="132"/>
      <c r="AMP3" s="132"/>
      <c r="AMQ3" s="132"/>
      <c r="AMR3" s="132"/>
      <c r="AMS3" s="132"/>
      <c r="AMT3" s="132"/>
      <c r="AMU3" s="132"/>
      <c r="AMV3" s="132"/>
      <c r="AMW3" s="132"/>
      <c r="AMX3" s="132"/>
      <c r="AMY3" s="132"/>
      <c r="AMZ3" s="132"/>
      <c r="ANA3" s="132"/>
      <c r="ANB3" s="132"/>
      <c r="ANC3" s="132"/>
      <c r="AND3" s="132"/>
      <c r="ANE3" s="132"/>
      <c r="ANF3" s="132"/>
      <c r="ANG3" s="132"/>
      <c r="ANH3" s="132"/>
      <c r="ANI3" s="132"/>
      <c r="ANJ3" s="132"/>
      <c r="ANK3" s="132"/>
      <c r="ANL3" s="132"/>
      <c r="ANM3" s="132"/>
      <c r="ANN3" s="132"/>
      <c r="ANO3" s="132"/>
      <c r="ANP3" s="132"/>
      <c r="ANQ3" s="132"/>
      <c r="ANR3" s="132"/>
      <c r="ANS3" s="132"/>
      <c r="ANT3" s="132"/>
      <c r="ANU3" s="132"/>
      <c r="ANV3" s="132"/>
      <c r="ANW3" s="132"/>
      <c r="ANX3" s="132"/>
      <c r="ANY3" s="132"/>
      <c r="ANZ3" s="132"/>
      <c r="AOA3" s="132"/>
      <c r="AOB3" s="132"/>
      <c r="AOC3" s="132"/>
      <c r="AOD3" s="132"/>
      <c r="AOE3" s="132"/>
      <c r="AOF3" s="132"/>
      <c r="AOG3" s="132"/>
      <c r="AOH3" s="132"/>
      <c r="AOI3" s="132"/>
      <c r="AOJ3" s="132"/>
      <c r="AOK3" s="132"/>
      <c r="AOL3" s="132"/>
      <c r="AOM3" s="132"/>
      <c r="AON3" s="132"/>
      <c r="AOO3" s="132"/>
      <c r="AOP3" s="132"/>
      <c r="AOQ3" s="132"/>
      <c r="AOR3" s="132"/>
      <c r="AOS3" s="132"/>
      <c r="AOT3" s="132"/>
      <c r="AOU3" s="132"/>
      <c r="AOV3" s="132"/>
      <c r="AOW3" s="132"/>
      <c r="AOX3" s="132"/>
      <c r="AOY3" s="132"/>
      <c r="AOZ3" s="132"/>
      <c r="APA3" s="132"/>
      <c r="APB3" s="132"/>
      <c r="APC3" s="132"/>
      <c r="APD3" s="132"/>
      <c r="APE3" s="132"/>
      <c r="APF3" s="132"/>
      <c r="APG3" s="132"/>
      <c r="APH3" s="132"/>
      <c r="API3" s="132"/>
      <c r="APJ3" s="132"/>
      <c r="APK3" s="132"/>
      <c r="APL3" s="132"/>
      <c r="APM3" s="132"/>
      <c r="APN3" s="132"/>
      <c r="APO3" s="132"/>
      <c r="APP3" s="132"/>
      <c r="APQ3" s="132"/>
      <c r="APR3" s="132"/>
      <c r="APS3" s="132"/>
      <c r="APT3" s="132"/>
      <c r="APU3" s="132"/>
      <c r="APV3" s="132"/>
      <c r="APW3" s="132"/>
      <c r="APX3" s="132"/>
      <c r="APY3" s="132"/>
      <c r="APZ3" s="132"/>
      <c r="AQA3" s="132"/>
      <c r="AQB3" s="132"/>
      <c r="AQC3" s="132"/>
      <c r="AQD3" s="132"/>
      <c r="AQE3" s="132"/>
      <c r="AQF3" s="132"/>
      <c r="AQG3" s="132"/>
      <c r="AQH3" s="132"/>
      <c r="AQI3" s="132"/>
      <c r="AQJ3" s="132"/>
      <c r="AQK3" s="132"/>
      <c r="AQL3" s="132"/>
      <c r="AQM3" s="132"/>
      <c r="AQN3" s="132"/>
      <c r="AQO3" s="132"/>
      <c r="AQP3" s="132"/>
      <c r="AQQ3" s="132"/>
      <c r="AQR3" s="132"/>
      <c r="AQS3" s="132"/>
      <c r="AQT3" s="132"/>
      <c r="AQU3" s="132"/>
      <c r="AQV3" s="132"/>
      <c r="AQW3" s="132"/>
      <c r="AQX3" s="132"/>
      <c r="AQY3" s="132"/>
      <c r="AQZ3" s="132"/>
      <c r="ARA3" s="132"/>
      <c r="ARB3" s="132"/>
      <c r="ARC3" s="132"/>
      <c r="ARD3" s="132"/>
      <c r="ARE3" s="132"/>
      <c r="ARF3" s="132"/>
      <c r="ARG3" s="132"/>
      <c r="ARH3" s="132"/>
      <c r="ARI3" s="132"/>
      <c r="ARJ3" s="132"/>
      <c r="ARK3" s="132"/>
      <c r="ARL3" s="132"/>
      <c r="ARM3" s="132"/>
      <c r="ARN3" s="132"/>
      <c r="ARO3" s="132"/>
      <c r="ARP3" s="132"/>
      <c r="ARQ3" s="132"/>
      <c r="ARR3" s="132"/>
      <c r="ARS3" s="132"/>
      <c r="ART3" s="132"/>
      <c r="ARU3" s="132"/>
      <c r="ARV3" s="132"/>
      <c r="ARW3" s="132"/>
      <c r="ARX3" s="132"/>
      <c r="ARY3" s="132"/>
      <c r="ARZ3" s="132"/>
      <c r="ASA3" s="132"/>
      <c r="ASB3" s="132"/>
      <c r="ASC3" s="132"/>
      <c r="ASD3" s="132"/>
      <c r="ASE3" s="132"/>
      <c r="ASF3" s="132"/>
      <c r="ASG3" s="132"/>
      <c r="ASH3" s="132"/>
      <c r="ASI3" s="132"/>
      <c r="ASJ3" s="132"/>
      <c r="ASK3" s="132"/>
      <c r="ASL3" s="132"/>
      <c r="ASM3" s="132"/>
      <c r="ASN3" s="132"/>
      <c r="ASO3" s="132"/>
      <c r="ASP3" s="132"/>
      <c r="ASQ3" s="132"/>
      <c r="ASR3" s="132"/>
      <c r="ASS3" s="132"/>
      <c r="AST3" s="132"/>
      <c r="ASU3" s="132"/>
      <c r="ASV3" s="132"/>
      <c r="ASW3" s="132"/>
      <c r="ASX3" s="132"/>
      <c r="ASY3" s="132"/>
      <c r="ASZ3" s="132"/>
      <c r="ATA3" s="132"/>
      <c r="ATB3" s="132"/>
      <c r="ATC3" s="132"/>
      <c r="ATD3" s="132"/>
      <c r="ATE3" s="132"/>
      <c r="ATF3" s="132"/>
      <c r="ATG3" s="132"/>
      <c r="ATH3" s="132"/>
      <c r="ATI3" s="132"/>
      <c r="ATJ3" s="132"/>
      <c r="ATK3" s="132"/>
      <c r="ATL3" s="132"/>
      <c r="ATM3" s="132"/>
      <c r="ATN3" s="132"/>
      <c r="ATO3" s="132"/>
      <c r="ATP3" s="132"/>
      <c r="ATQ3" s="132"/>
      <c r="ATR3" s="132"/>
      <c r="ATS3" s="132"/>
      <c r="ATT3" s="132"/>
      <c r="ATU3" s="132"/>
      <c r="ATV3" s="132"/>
      <c r="ATW3" s="132"/>
      <c r="ATX3" s="132"/>
      <c r="ATY3" s="132"/>
      <c r="ATZ3" s="132"/>
      <c r="AUA3" s="132"/>
      <c r="AUB3" s="132"/>
      <c r="AUC3" s="132"/>
      <c r="AUD3" s="132"/>
      <c r="AUE3" s="132"/>
      <c r="AUF3" s="132"/>
      <c r="AUG3" s="132"/>
      <c r="AUH3" s="132"/>
      <c r="AUI3" s="132"/>
      <c r="AUJ3" s="132"/>
      <c r="AUK3" s="132"/>
      <c r="AUL3" s="132"/>
      <c r="AUM3" s="132"/>
      <c r="AUN3" s="132"/>
      <c r="AUO3" s="132"/>
      <c r="AUP3" s="132"/>
      <c r="AUQ3" s="132"/>
      <c r="AUR3" s="132"/>
      <c r="AUS3" s="132"/>
      <c r="AUT3" s="132"/>
      <c r="AUU3" s="132"/>
      <c r="AUV3" s="132"/>
      <c r="AUW3" s="132"/>
      <c r="AUX3" s="132"/>
      <c r="AUY3" s="132"/>
      <c r="AUZ3" s="132"/>
      <c r="AVA3" s="132"/>
      <c r="AVB3" s="132"/>
      <c r="AVC3" s="132"/>
      <c r="AVD3" s="132"/>
      <c r="AVE3" s="132"/>
      <c r="AVF3" s="132"/>
      <c r="AVG3" s="132"/>
      <c r="AVH3" s="132"/>
      <c r="AVI3" s="132"/>
      <c r="AVJ3" s="132"/>
      <c r="AVK3" s="132"/>
      <c r="AVL3" s="132"/>
      <c r="AVM3" s="132"/>
      <c r="AVN3" s="132"/>
      <c r="AVO3" s="132"/>
      <c r="AVP3" s="132"/>
      <c r="AVQ3" s="132"/>
      <c r="AVR3" s="132"/>
      <c r="AVS3" s="132"/>
      <c r="AVT3" s="132"/>
      <c r="AVU3" s="132"/>
      <c r="AVV3" s="132"/>
      <c r="AVW3" s="132"/>
      <c r="AVX3" s="132"/>
      <c r="AVY3" s="132"/>
      <c r="AVZ3" s="132"/>
      <c r="AWA3" s="132"/>
      <c r="AWB3" s="132"/>
      <c r="AWC3" s="132"/>
      <c r="AWD3" s="132"/>
      <c r="AWE3" s="132"/>
      <c r="AWF3" s="132"/>
      <c r="AWG3" s="132"/>
      <c r="AWH3" s="132"/>
      <c r="AWI3" s="132"/>
      <c r="AWJ3" s="132"/>
      <c r="AWK3" s="132"/>
      <c r="AWL3" s="132"/>
      <c r="AWM3" s="132"/>
      <c r="AWN3" s="132"/>
      <c r="AWO3" s="132"/>
      <c r="AWP3" s="132"/>
      <c r="AWQ3" s="132"/>
      <c r="AWR3" s="132"/>
      <c r="AWS3" s="132"/>
      <c r="AWT3" s="132"/>
      <c r="AWU3" s="132"/>
      <c r="AWV3" s="132"/>
      <c r="AWW3" s="132"/>
      <c r="AWX3" s="132"/>
      <c r="AWY3" s="132"/>
      <c r="AWZ3" s="132"/>
      <c r="AXA3" s="132"/>
      <c r="AXB3" s="132"/>
      <c r="AXC3" s="132"/>
      <c r="AXD3" s="132"/>
      <c r="AXE3" s="132"/>
      <c r="AXF3" s="132"/>
      <c r="AXG3" s="132"/>
      <c r="AXH3" s="132"/>
      <c r="AXI3" s="132"/>
      <c r="AXJ3" s="132"/>
      <c r="AXK3" s="132"/>
      <c r="AXL3" s="132"/>
      <c r="AXM3" s="132"/>
      <c r="AXN3" s="132"/>
      <c r="AXO3" s="132"/>
      <c r="AXP3" s="132"/>
      <c r="AXQ3" s="132"/>
      <c r="AXR3" s="132"/>
      <c r="AXS3" s="132"/>
      <c r="AXT3" s="132"/>
      <c r="AXU3" s="132"/>
      <c r="AXV3" s="132"/>
      <c r="AXW3" s="132"/>
      <c r="AXX3" s="132"/>
      <c r="AXY3" s="132"/>
      <c r="AXZ3" s="132"/>
      <c r="AYA3" s="132"/>
      <c r="AYB3" s="132"/>
      <c r="AYC3" s="132"/>
      <c r="AYD3" s="132"/>
      <c r="AYE3" s="132"/>
      <c r="AYF3" s="132"/>
      <c r="AYG3" s="132"/>
      <c r="AYH3" s="132"/>
      <c r="AYI3" s="132"/>
      <c r="AYJ3" s="132"/>
      <c r="AYK3" s="132"/>
      <c r="AYL3" s="132"/>
      <c r="AYM3" s="132"/>
      <c r="AYN3" s="132"/>
      <c r="AYO3" s="132"/>
      <c r="AYP3" s="132"/>
      <c r="AYQ3" s="132"/>
      <c r="AYR3" s="132"/>
      <c r="AYS3" s="132"/>
      <c r="AYT3" s="132"/>
      <c r="AYU3" s="132"/>
      <c r="AYV3" s="132"/>
      <c r="AYW3" s="132"/>
      <c r="AYX3" s="132"/>
      <c r="AYY3" s="132"/>
      <c r="AYZ3" s="132"/>
      <c r="AZA3" s="132"/>
      <c r="AZB3" s="132"/>
      <c r="AZC3" s="132"/>
      <c r="AZD3" s="132"/>
      <c r="AZE3" s="132"/>
      <c r="AZF3" s="132"/>
      <c r="AZG3" s="132"/>
      <c r="AZH3" s="132"/>
      <c r="AZI3" s="132"/>
      <c r="AZJ3" s="132"/>
      <c r="AZK3" s="132"/>
      <c r="AZL3" s="132"/>
      <c r="AZM3" s="132"/>
      <c r="AZN3" s="132"/>
      <c r="AZO3" s="132"/>
      <c r="AZP3" s="132"/>
      <c r="AZQ3" s="132"/>
      <c r="AZR3" s="132"/>
      <c r="AZS3" s="132"/>
      <c r="AZT3" s="132"/>
      <c r="AZU3" s="132"/>
      <c r="AZV3" s="132"/>
      <c r="AZW3" s="132"/>
      <c r="AZX3" s="132"/>
      <c r="AZY3" s="132"/>
      <c r="AZZ3" s="132"/>
      <c r="BAA3" s="132"/>
      <c r="BAB3" s="132"/>
      <c r="BAC3" s="132"/>
      <c r="BAD3" s="132"/>
      <c r="BAE3" s="132"/>
      <c r="BAF3" s="132"/>
      <c r="BAG3" s="132"/>
      <c r="BAH3" s="132"/>
      <c r="BAI3" s="132"/>
      <c r="BAJ3" s="132"/>
      <c r="BAK3" s="132"/>
      <c r="BAL3" s="132"/>
      <c r="BAM3" s="132"/>
      <c r="BAN3" s="132"/>
      <c r="BAO3" s="132"/>
      <c r="BAP3" s="132"/>
      <c r="BAQ3" s="132"/>
      <c r="BAR3" s="132"/>
      <c r="BAS3" s="132"/>
      <c r="BAT3" s="132"/>
      <c r="BAU3" s="132"/>
      <c r="BAV3" s="132"/>
      <c r="BAW3" s="132"/>
      <c r="BAX3" s="132"/>
      <c r="BAY3" s="132"/>
      <c r="BAZ3" s="132"/>
      <c r="BBA3" s="132"/>
      <c r="BBB3" s="132"/>
      <c r="BBC3" s="132"/>
      <c r="BBD3" s="132"/>
      <c r="BBE3" s="132"/>
      <c r="BBF3" s="132"/>
      <c r="BBG3" s="132"/>
      <c r="BBH3" s="132"/>
      <c r="BBI3" s="132"/>
      <c r="BBJ3" s="132"/>
      <c r="BBK3" s="132"/>
      <c r="BBL3" s="132"/>
      <c r="BBM3" s="132"/>
      <c r="BBN3" s="132"/>
      <c r="BBO3" s="132"/>
      <c r="BBP3" s="132"/>
      <c r="BBQ3" s="132"/>
      <c r="BBR3" s="132"/>
      <c r="BBS3" s="132"/>
      <c r="BBT3" s="132"/>
      <c r="BBU3" s="132"/>
      <c r="BBV3" s="132"/>
      <c r="BBW3" s="132"/>
      <c r="BBX3" s="132"/>
      <c r="BBY3" s="132"/>
      <c r="BBZ3" s="132"/>
      <c r="BCA3" s="132"/>
      <c r="BCB3" s="132"/>
      <c r="BCC3" s="132"/>
      <c r="BCD3" s="132"/>
      <c r="BCE3" s="132"/>
      <c r="BCF3" s="132"/>
      <c r="BCG3" s="132"/>
      <c r="BCH3" s="132"/>
      <c r="BCI3" s="132"/>
      <c r="BCJ3" s="132"/>
      <c r="BCK3" s="132"/>
      <c r="BCL3" s="132"/>
      <c r="BCM3" s="132"/>
      <c r="BCN3" s="132"/>
      <c r="BCO3" s="132"/>
      <c r="BCP3" s="132"/>
      <c r="BCQ3" s="132"/>
      <c r="BCR3" s="132"/>
      <c r="BCS3" s="132"/>
      <c r="BCT3" s="132"/>
      <c r="BCU3" s="132"/>
      <c r="BCV3" s="132"/>
      <c r="BCW3" s="132"/>
      <c r="BCX3" s="132"/>
      <c r="BCY3" s="132"/>
      <c r="BCZ3" s="132"/>
      <c r="BDA3" s="132"/>
      <c r="BDB3" s="132"/>
      <c r="BDC3" s="132"/>
      <c r="BDD3" s="132"/>
      <c r="BDE3" s="132"/>
      <c r="BDF3" s="132"/>
      <c r="BDG3" s="132"/>
      <c r="BDH3" s="132"/>
      <c r="BDI3" s="132"/>
      <c r="BDJ3" s="132"/>
      <c r="BDK3" s="132"/>
      <c r="BDL3" s="132"/>
      <c r="BDM3" s="132"/>
      <c r="BDN3" s="132"/>
      <c r="BDO3" s="132"/>
      <c r="BDP3" s="132"/>
      <c r="BDQ3" s="132"/>
      <c r="BDR3" s="132"/>
      <c r="BDS3" s="132"/>
      <c r="BDT3" s="132"/>
      <c r="BDU3" s="132"/>
      <c r="BDV3" s="132"/>
      <c r="BDW3" s="132"/>
      <c r="BDX3" s="132"/>
      <c r="BDY3" s="132"/>
      <c r="BDZ3" s="132"/>
      <c r="BEA3" s="132"/>
      <c r="BEB3" s="132"/>
      <c r="BEC3" s="132"/>
      <c r="BED3" s="132"/>
      <c r="BEE3" s="132"/>
      <c r="BEF3" s="132"/>
      <c r="BEG3" s="132"/>
      <c r="BEH3" s="132"/>
      <c r="BEI3" s="132"/>
      <c r="BEJ3" s="132"/>
      <c r="BEK3" s="132"/>
      <c r="BEL3" s="132"/>
      <c r="BEM3" s="132"/>
      <c r="BEN3" s="132"/>
      <c r="BEO3" s="132"/>
      <c r="BEP3" s="132"/>
      <c r="BEQ3" s="132"/>
      <c r="BER3" s="132"/>
      <c r="BES3" s="132"/>
      <c r="BET3" s="132"/>
      <c r="BEU3" s="132"/>
      <c r="BEV3" s="132"/>
      <c r="BEW3" s="132"/>
      <c r="BEX3" s="132"/>
      <c r="BEY3" s="132"/>
      <c r="BEZ3" s="132"/>
      <c r="BFA3" s="132"/>
      <c r="BFB3" s="132"/>
      <c r="BFC3" s="132"/>
      <c r="BFD3" s="132"/>
      <c r="BFE3" s="132"/>
      <c r="BFF3" s="132"/>
      <c r="BFG3" s="132"/>
      <c r="BFH3" s="132"/>
      <c r="BFI3" s="132"/>
      <c r="BFJ3" s="132"/>
      <c r="BFK3" s="132"/>
      <c r="BFL3" s="132"/>
      <c r="BFM3" s="132"/>
      <c r="BFN3" s="132"/>
      <c r="BFO3" s="132"/>
      <c r="BFP3" s="132"/>
      <c r="BFQ3" s="132"/>
      <c r="BFR3" s="132"/>
      <c r="BFS3" s="132"/>
      <c r="BFT3" s="132"/>
      <c r="BFU3" s="132"/>
      <c r="BFV3" s="132"/>
      <c r="BFW3" s="132"/>
      <c r="BFX3" s="132"/>
      <c r="BFY3" s="132"/>
      <c r="BFZ3" s="132"/>
      <c r="BGA3" s="132"/>
      <c r="BGB3" s="132"/>
      <c r="BGC3" s="132"/>
      <c r="BGD3" s="132"/>
      <c r="BGE3" s="132"/>
      <c r="BGF3" s="132"/>
      <c r="BGG3" s="132"/>
      <c r="BGH3" s="132"/>
      <c r="BGI3" s="132"/>
      <c r="BGJ3" s="132"/>
      <c r="BGK3" s="132"/>
      <c r="BGL3" s="132"/>
      <c r="BGM3" s="132"/>
      <c r="BGN3" s="132"/>
      <c r="BGO3" s="132"/>
      <c r="BGP3" s="132"/>
      <c r="BGQ3" s="132"/>
      <c r="BGR3" s="132"/>
      <c r="BGS3" s="132"/>
      <c r="BGT3" s="132"/>
      <c r="BGU3" s="132"/>
      <c r="BGV3" s="132"/>
      <c r="BGW3" s="132"/>
      <c r="BGX3" s="132"/>
      <c r="BGY3" s="132"/>
      <c r="BGZ3" s="132"/>
      <c r="BHA3" s="132"/>
      <c r="BHB3" s="132"/>
      <c r="BHC3" s="132"/>
      <c r="BHD3" s="132"/>
      <c r="BHE3" s="132"/>
      <c r="BHF3" s="132"/>
      <c r="BHG3" s="132"/>
      <c r="BHH3" s="132"/>
      <c r="BHI3" s="132"/>
      <c r="BHJ3" s="132"/>
      <c r="BHK3" s="132"/>
      <c r="BHL3" s="132"/>
      <c r="BHM3" s="132"/>
      <c r="BHN3" s="132"/>
      <c r="BHO3" s="132"/>
      <c r="BHP3" s="132"/>
      <c r="BHQ3" s="132"/>
      <c r="BHR3" s="132"/>
      <c r="BHS3" s="132"/>
      <c r="BHT3" s="132"/>
      <c r="BHU3" s="132"/>
      <c r="BHV3" s="132"/>
      <c r="BHW3" s="132"/>
      <c r="BHX3" s="132"/>
      <c r="BHY3" s="132"/>
      <c r="BHZ3" s="132"/>
      <c r="BIA3" s="132"/>
      <c r="BIB3" s="132"/>
      <c r="BIC3" s="132"/>
      <c r="BID3" s="132"/>
      <c r="BIE3" s="132"/>
      <c r="BIF3" s="132"/>
      <c r="BIG3" s="132"/>
      <c r="BIH3" s="132"/>
      <c r="BII3" s="132"/>
      <c r="BIJ3" s="132"/>
      <c r="BIK3" s="132"/>
      <c r="BIL3" s="132"/>
      <c r="BIM3" s="132"/>
      <c r="BIN3" s="132"/>
      <c r="BIO3" s="132"/>
      <c r="BIP3" s="132"/>
      <c r="BIQ3" s="132"/>
      <c r="BIR3" s="132"/>
      <c r="BIS3" s="132"/>
      <c r="BIT3" s="132"/>
      <c r="BIU3" s="132"/>
      <c r="BIV3" s="132"/>
      <c r="BIW3" s="132"/>
      <c r="BIX3" s="132"/>
      <c r="BIY3" s="132"/>
      <c r="BIZ3" s="132"/>
      <c r="BJA3" s="132"/>
      <c r="BJB3" s="132"/>
      <c r="BJC3" s="132"/>
      <c r="BJD3" s="132"/>
      <c r="BJE3" s="132"/>
      <c r="BJF3" s="132"/>
      <c r="BJG3" s="132"/>
      <c r="BJH3" s="132"/>
      <c r="BJI3" s="132"/>
      <c r="BJJ3" s="132"/>
      <c r="BJK3" s="132"/>
      <c r="BJL3" s="132"/>
      <c r="BJM3" s="132"/>
      <c r="BJN3" s="132"/>
      <c r="BJO3" s="132"/>
      <c r="BJP3" s="132"/>
      <c r="BJQ3" s="132"/>
      <c r="BJR3" s="132"/>
      <c r="BJS3" s="132"/>
      <c r="BJT3" s="132"/>
      <c r="BJU3" s="132"/>
      <c r="BJV3" s="132"/>
      <c r="BJW3" s="132"/>
      <c r="BJX3" s="132"/>
      <c r="BJY3" s="132"/>
      <c r="BJZ3" s="132"/>
      <c r="BKA3" s="132"/>
      <c r="BKB3" s="132"/>
      <c r="BKC3" s="132"/>
      <c r="BKD3" s="132"/>
      <c r="BKE3" s="132"/>
      <c r="BKF3" s="132"/>
      <c r="BKG3" s="132"/>
      <c r="BKH3" s="132"/>
      <c r="BKI3" s="132"/>
      <c r="BKJ3" s="132"/>
      <c r="BKK3" s="132"/>
      <c r="BKL3" s="132"/>
      <c r="BKM3" s="132"/>
      <c r="BKN3" s="132"/>
      <c r="BKO3" s="132"/>
      <c r="BKP3" s="132"/>
      <c r="BKQ3" s="132"/>
      <c r="BKR3" s="132"/>
      <c r="BKS3" s="132"/>
      <c r="BKT3" s="132"/>
      <c r="BKU3" s="132"/>
      <c r="BKV3" s="132"/>
      <c r="BKW3" s="132"/>
      <c r="BKX3" s="132"/>
      <c r="BKY3" s="132"/>
      <c r="BKZ3" s="132"/>
      <c r="BLA3" s="132"/>
      <c r="BLB3" s="132"/>
      <c r="BLC3" s="132"/>
      <c r="BLD3" s="132"/>
      <c r="BLE3" s="132"/>
      <c r="BLF3" s="132"/>
      <c r="BLG3" s="132"/>
      <c r="BLH3" s="132"/>
      <c r="BLI3" s="132"/>
      <c r="BLJ3" s="132"/>
      <c r="BLK3" s="132"/>
      <c r="BLL3" s="132"/>
      <c r="BLM3" s="132"/>
      <c r="BLN3" s="132"/>
      <c r="BLO3" s="132"/>
      <c r="BLP3" s="132"/>
      <c r="BLQ3" s="132"/>
      <c r="BLR3" s="132"/>
      <c r="BLS3" s="132"/>
      <c r="BLT3" s="132"/>
      <c r="BLU3" s="132"/>
      <c r="BLV3" s="132"/>
      <c r="BLW3" s="132"/>
      <c r="BLX3" s="132"/>
      <c r="BLY3" s="132"/>
      <c r="BLZ3" s="132"/>
      <c r="BMA3" s="132"/>
      <c r="BMB3" s="132"/>
      <c r="BMC3" s="132"/>
      <c r="BMD3" s="132"/>
      <c r="BME3" s="132"/>
      <c r="BMF3" s="132"/>
      <c r="BMG3" s="132"/>
      <c r="BMH3" s="132"/>
      <c r="BMI3" s="132"/>
      <c r="BMJ3" s="132"/>
      <c r="BMK3" s="132"/>
      <c r="BML3" s="132"/>
      <c r="BMM3" s="132"/>
      <c r="BMN3" s="132"/>
      <c r="BMO3" s="132"/>
      <c r="BMP3" s="132"/>
      <c r="BMQ3" s="132"/>
      <c r="BMR3" s="132"/>
      <c r="BMS3" s="132"/>
      <c r="BMT3" s="132"/>
      <c r="BMU3" s="132"/>
      <c r="BMV3" s="132"/>
      <c r="BMW3" s="132"/>
      <c r="BMX3" s="132"/>
      <c r="BMY3" s="132"/>
      <c r="BMZ3" s="132"/>
      <c r="BNA3" s="132"/>
      <c r="BNB3" s="132"/>
      <c r="BNC3" s="132"/>
      <c r="BND3" s="132"/>
      <c r="BNE3" s="132"/>
      <c r="BNF3" s="132"/>
      <c r="BNG3" s="132"/>
      <c r="BNH3" s="132"/>
      <c r="BNI3" s="132"/>
      <c r="BNJ3" s="132"/>
      <c r="BNK3" s="132"/>
      <c r="BNL3" s="132"/>
      <c r="BNM3" s="132"/>
      <c r="BNN3" s="132"/>
      <c r="BNO3" s="132"/>
      <c r="BNP3" s="132"/>
      <c r="BNQ3" s="132"/>
      <c r="BNR3" s="132"/>
      <c r="BNS3" s="132"/>
      <c r="BNT3" s="132"/>
      <c r="BNU3" s="132"/>
      <c r="BNV3" s="132"/>
      <c r="BNW3" s="132"/>
      <c r="BNX3" s="132"/>
      <c r="BNY3" s="132"/>
      <c r="BNZ3" s="132"/>
      <c r="BOA3" s="132"/>
      <c r="BOB3" s="132"/>
      <c r="BOC3" s="132"/>
      <c r="BOD3" s="132"/>
      <c r="BOE3" s="132"/>
      <c r="BOF3" s="132"/>
      <c r="BOG3" s="132"/>
      <c r="BOH3" s="132"/>
      <c r="BOI3" s="132"/>
      <c r="BOJ3" s="132"/>
      <c r="BOK3" s="132"/>
      <c r="BOL3" s="132"/>
      <c r="BOM3" s="132"/>
      <c r="BON3" s="132"/>
      <c r="BOO3" s="132"/>
      <c r="BOP3" s="132"/>
      <c r="BOQ3" s="132"/>
      <c r="BOR3" s="132"/>
      <c r="BOS3" s="132"/>
      <c r="BOT3" s="132"/>
      <c r="BOU3" s="132"/>
      <c r="BOV3" s="132"/>
      <c r="BOW3" s="132"/>
      <c r="BOX3" s="132"/>
      <c r="BOY3" s="132"/>
      <c r="BOZ3" s="132"/>
      <c r="BPA3" s="132"/>
      <c r="BPB3" s="132"/>
      <c r="BPC3" s="132"/>
      <c r="BPD3" s="132"/>
      <c r="BPE3" s="132"/>
      <c r="BPF3" s="132"/>
      <c r="BPG3" s="132"/>
      <c r="BPH3" s="132"/>
      <c r="BPI3" s="132"/>
      <c r="BPJ3" s="132"/>
      <c r="BPK3" s="132"/>
      <c r="BPL3" s="132"/>
      <c r="BPM3" s="132"/>
      <c r="BPN3" s="132"/>
      <c r="BPO3" s="132"/>
      <c r="BPP3" s="132"/>
      <c r="BPQ3" s="132"/>
      <c r="BPR3" s="132"/>
      <c r="BPS3" s="132"/>
      <c r="BPT3" s="132"/>
      <c r="BPU3" s="132"/>
      <c r="BPV3" s="132"/>
      <c r="BPW3" s="132"/>
      <c r="BPX3" s="132"/>
      <c r="BPY3" s="132"/>
      <c r="BPZ3" s="132"/>
      <c r="BQA3" s="132"/>
      <c r="BQB3" s="132"/>
      <c r="BQC3" s="132"/>
      <c r="BQD3" s="132"/>
      <c r="BQE3" s="132"/>
      <c r="BQF3" s="132"/>
      <c r="BQG3" s="132"/>
      <c r="BQH3" s="132"/>
      <c r="BQI3" s="132"/>
      <c r="BQJ3" s="132"/>
      <c r="BQK3" s="132"/>
      <c r="BQL3" s="132"/>
      <c r="BQM3" s="132"/>
      <c r="BQN3" s="132"/>
      <c r="BQO3" s="132"/>
      <c r="BQP3" s="132"/>
      <c r="BQQ3" s="132"/>
      <c r="BQR3" s="132"/>
      <c r="BQS3" s="132"/>
      <c r="BQT3" s="132"/>
      <c r="BQU3" s="132"/>
      <c r="BQV3" s="132"/>
      <c r="BQW3" s="132"/>
      <c r="BQX3" s="132"/>
      <c r="BQY3" s="132"/>
      <c r="BQZ3" s="132"/>
      <c r="BRA3" s="132"/>
      <c r="BRB3" s="132"/>
      <c r="BRC3" s="132"/>
      <c r="BRD3" s="132"/>
      <c r="BRE3" s="132"/>
      <c r="BRF3" s="132"/>
      <c r="BRG3" s="132"/>
      <c r="BRH3" s="132"/>
      <c r="BRI3" s="132"/>
      <c r="BRJ3" s="132"/>
      <c r="BRK3" s="132"/>
      <c r="BRL3" s="132"/>
      <c r="BRM3" s="132"/>
      <c r="BRN3" s="132"/>
      <c r="BRO3" s="132"/>
      <c r="BRP3" s="132"/>
      <c r="BRQ3" s="132"/>
      <c r="BRR3" s="132"/>
      <c r="BRS3" s="132"/>
      <c r="BRT3" s="132"/>
      <c r="BRU3" s="132"/>
      <c r="BRV3" s="132"/>
      <c r="BRW3" s="132"/>
      <c r="BRX3" s="132"/>
      <c r="BRY3" s="132"/>
      <c r="BRZ3" s="132"/>
      <c r="BSA3" s="132"/>
      <c r="BSB3" s="132"/>
      <c r="BSC3" s="132"/>
      <c r="BSD3" s="132"/>
      <c r="BSE3" s="132"/>
      <c r="BSF3" s="132"/>
      <c r="BSG3" s="132"/>
      <c r="BSH3" s="132"/>
      <c r="BSI3" s="132"/>
      <c r="BSJ3" s="132"/>
      <c r="BSK3" s="132"/>
      <c r="BSL3" s="132"/>
      <c r="BSM3" s="132"/>
      <c r="BSN3" s="132"/>
      <c r="BSO3" s="132"/>
      <c r="BSP3" s="132"/>
      <c r="BSQ3" s="132"/>
      <c r="BSR3" s="132"/>
      <c r="BSS3" s="132"/>
      <c r="BST3" s="132"/>
      <c r="BSU3" s="132"/>
      <c r="BSV3" s="132"/>
      <c r="BSW3" s="132"/>
      <c r="BSX3" s="132"/>
      <c r="BSY3" s="132"/>
      <c r="BSZ3" s="132"/>
      <c r="BTA3" s="132"/>
      <c r="BTB3" s="132"/>
      <c r="BTC3" s="132"/>
      <c r="BTD3" s="132"/>
      <c r="BTE3" s="132"/>
      <c r="BTF3" s="132"/>
      <c r="BTG3" s="132"/>
      <c r="BTH3" s="132"/>
      <c r="BTI3" s="132"/>
      <c r="BTJ3" s="132"/>
      <c r="BTK3" s="132"/>
      <c r="BTL3" s="132"/>
      <c r="BTM3" s="132"/>
      <c r="BTN3" s="132"/>
      <c r="BTO3" s="132"/>
      <c r="BTP3" s="132"/>
      <c r="BTQ3" s="132"/>
      <c r="BTR3" s="132"/>
      <c r="BTS3" s="132"/>
      <c r="BTT3" s="132"/>
      <c r="BTU3" s="132"/>
      <c r="BTV3" s="132"/>
      <c r="BTW3" s="132"/>
      <c r="BTX3" s="132"/>
      <c r="BTY3" s="132"/>
      <c r="BTZ3" s="132"/>
      <c r="BUA3" s="132"/>
      <c r="BUB3" s="132"/>
      <c r="BUC3" s="132"/>
      <c r="BUD3" s="132"/>
      <c r="BUE3" s="132"/>
      <c r="BUF3" s="132"/>
      <c r="BUG3" s="132"/>
      <c r="BUH3" s="132"/>
      <c r="BUI3" s="132"/>
      <c r="BUJ3" s="132"/>
      <c r="BUK3" s="132"/>
      <c r="BUL3" s="132"/>
      <c r="BUM3" s="132"/>
      <c r="BUN3" s="132"/>
      <c r="BUO3" s="132"/>
      <c r="BUP3" s="132"/>
      <c r="BUQ3" s="132"/>
      <c r="BUR3" s="132"/>
      <c r="BUS3" s="132"/>
      <c r="BUT3" s="132"/>
      <c r="BUU3" s="132"/>
      <c r="BUV3" s="132"/>
      <c r="BUW3" s="132"/>
      <c r="BUX3" s="132"/>
      <c r="BUY3" s="132"/>
      <c r="BUZ3" s="132"/>
      <c r="BVA3" s="132"/>
      <c r="BVB3" s="132"/>
      <c r="BVC3" s="132"/>
      <c r="BVD3" s="132"/>
      <c r="BVE3" s="132"/>
      <c r="BVF3" s="132"/>
      <c r="BVG3" s="132"/>
      <c r="BVH3" s="132"/>
      <c r="BVI3" s="132"/>
      <c r="BVJ3" s="132"/>
      <c r="BVK3" s="132"/>
      <c r="BVL3" s="132"/>
      <c r="BVM3" s="132"/>
      <c r="BVN3" s="132"/>
      <c r="BVO3" s="132"/>
      <c r="BVP3" s="132"/>
      <c r="BVQ3" s="132"/>
      <c r="BVR3" s="132"/>
      <c r="BVS3" s="132"/>
      <c r="BVT3" s="132"/>
      <c r="BVU3" s="132"/>
      <c r="BVV3" s="132"/>
      <c r="BVW3" s="132"/>
      <c r="BVX3" s="132"/>
      <c r="BVY3" s="132"/>
      <c r="BVZ3" s="132"/>
      <c r="BWA3" s="132"/>
      <c r="BWB3" s="132"/>
      <c r="BWC3" s="132"/>
      <c r="BWD3" s="132"/>
      <c r="BWE3" s="132"/>
      <c r="BWF3" s="132"/>
      <c r="BWG3" s="132"/>
      <c r="BWH3" s="132"/>
      <c r="BWI3" s="132"/>
      <c r="BWJ3" s="132"/>
      <c r="BWK3" s="132"/>
      <c r="BWL3" s="132"/>
      <c r="BWM3" s="132"/>
      <c r="BWN3" s="132"/>
      <c r="BWO3" s="132"/>
      <c r="BWP3" s="132"/>
      <c r="BWQ3" s="132"/>
      <c r="BWR3" s="132"/>
      <c r="BWS3" s="132"/>
      <c r="BWT3" s="132"/>
      <c r="BWU3" s="132"/>
      <c r="BWV3" s="132"/>
      <c r="BWW3" s="132"/>
      <c r="BWX3" s="132"/>
      <c r="BWY3" s="132"/>
      <c r="BWZ3" s="132"/>
      <c r="BXA3" s="132"/>
      <c r="BXB3" s="132"/>
      <c r="BXC3" s="132"/>
      <c r="BXD3" s="132"/>
      <c r="BXE3" s="132"/>
      <c r="BXF3" s="132"/>
      <c r="BXG3" s="132"/>
      <c r="BXH3" s="132"/>
      <c r="BXI3" s="132"/>
      <c r="BXJ3" s="132"/>
      <c r="BXK3" s="132"/>
      <c r="BXL3" s="132"/>
      <c r="BXM3" s="132"/>
      <c r="BXN3" s="132"/>
      <c r="BXO3" s="132"/>
      <c r="BXP3" s="132"/>
      <c r="BXQ3" s="132"/>
      <c r="BXR3" s="132"/>
      <c r="BXS3" s="132"/>
      <c r="BXT3" s="132"/>
      <c r="BXU3" s="132"/>
      <c r="BXV3" s="132"/>
      <c r="BXW3" s="132"/>
      <c r="BXX3" s="132"/>
      <c r="BXY3" s="132"/>
      <c r="BXZ3" s="132"/>
      <c r="BYA3" s="132"/>
      <c r="BYB3" s="132"/>
      <c r="BYC3" s="132"/>
      <c r="BYD3" s="132"/>
      <c r="BYE3" s="132"/>
      <c r="BYF3" s="132"/>
      <c r="BYG3" s="132"/>
      <c r="BYH3" s="132"/>
      <c r="BYI3" s="132"/>
      <c r="BYJ3" s="132"/>
      <c r="BYK3" s="132"/>
      <c r="BYL3" s="132"/>
      <c r="BYM3" s="132"/>
      <c r="BYN3" s="132"/>
      <c r="BYO3" s="132"/>
      <c r="BYP3" s="132"/>
      <c r="BYQ3" s="132"/>
      <c r="BYR3" s="132"/>
      <c r="BYS3" s="132"/>
      <c r="BYT3" s="132"/>
      <c r="BYU3" s="132"/>
      <c r="BYV3" s="132"/>
      <c r="BYW3" s="132"/>
      <c r="BYX3" s="132"/>
      <c r="BYY3" s="132"/>
      <c r="BYZ3" s="132"/>
      <c r="BZA3" s="132"/>
      <c r="BZB3" s="132"/>
      <c r="BZC3" s="132"/>
      <c r="BZD3" s="132"/>
      <c r="BZE3" s="132"/>
      <c r="BZF3" s="132"/>
      <c r="BZG3" s="132"/>
      <c r="BZH3" s="132"/>
      <c r="BZI3" s="132"/>
      <c r="BZJ3" s="132"/>
      <c r="BZK3" s="132"/>
      <c r="BZL3" s="132"/>
      <c r="BZM3" s="132"/>
      <c r="BZN3" s="132"/>
      <c r="BZO3" s="132"/>
      <c r="BZP3" s="132"/>
      <c r="BZQ3" s="132"/>
      <c r="BZR3" s="132"/>
      <c r="BZS3" s="132"/>
      <c r="BZT3" s="132"/>
      <c r="BZU3" s="132"/>
      <c r="BZV3" s="132"/>
      <c r="BZW3" s="132"/>
      <c r="BZX3" s="132"/>
      <c r="BZY3" s="132"/>
      <c r="BZZ3" s="132"/>
      <c r="CAA3" s="132"/>
      <c r="CAB3" s="132"/>
      <c r="CAC3" s="132"/>
      <c r="CAD3" s="132"/>
      <c r="CAE3" s="132"/>
      <c r="CAF3" s="132"/>
      <c r="CAG3" s="132"/>
      <c r="CAH3" s="132"/>
      <c r="CAI3" s="132"/>
      <c r="CAJ3" s="132"/>
      <c r="CAK3" s="132"/>
      <c r="CAL3" s="132"/>
      <c r="CAM3" s="132"/>
      <c r="CAN3" s="132"/>
      <c r="CAO3" s="132"/>
      <c r="CAP3" s="132"/>
      <c r="CAQ3" s="132"/>
      <c r="CAR3" s="132"/>
      <c r="CAS3" s="132"/>
      <c r="CAT3" s="132"/>
      <c r="CAU3" s="132"/>
      <c r="CAV3" s="132"/>
      <c r="CAW3" s="132"/>
      <c r="CAX3" s="132"/>
      <c r="CAY3" s="132"/>
      <c r="CAZ3" s="132"/>
      <c r="CBA3" s="132"/>
      <c r="CBB3" s="132"/>
      <c r="CBC3" s="132"/>
      <c r="CBD3" s="132"/>
      <c r="CBE3" s="132"/>
      <c r="CBF3" s="132"/>
      <c r="CBG3" s="132"/>
      <c r="CBH3" s="132"/>
      <c r="CBI3" s="132"/>
      <c r="CBJ3" s="132"/>
      <c r="CBK3" s="132"/>
      <c r="CBL3" s="132"/>
      <c r="CBM3" s="132"/>
      <c r="CBN3" s="132"/>
      <c r="CBO3" s="132"/>
      <c r="CBP3" s="132"/>
      <c r="CBQ3" s="132"/>
      <c r="CBR3" s="132"/>
      <c r="CBS3" s="132"/>
      <c r="CBT3" s="132"/>
      <c r="CBU3" s="132"/>
      <c r="CBV3" s="132"/>
      <c r="CBW3" s="132"/>
      <c r="CBX3" s="132"/>
      <c r="CBY3" s="132"/>
      <c r="CBZ3" s="132"/>
      <c r="CCA3" s="132"/>
      <c r="CCB3" s="132"/>
      <c r="CCC3" s="132"/>
      <c r="CCD3" s="132"/>
      <c r="CCE3" s="132"/>
      <c r="CCF3" s="132"/>
      <c r="CCG3" s="132"/>
      <c r="CCH3" s="132"/>
      <c r="CCI3" s="132"/>
      <c r="CCJ3" s="132"/>
      <c r="CCK3" s="132"/>
      <c r="CCL3" s="132"/>
      <c r="CCM3" s="132"/>
      <c r="CCN3" s="132"/>
      <c r="CCO3" s="132"/>
      <c r="CCP3" s="132"/>
      <c r="CCQ3" s="132"/>
      <c r="CCR3" s="132"/>
      <c r="CCS3" s="132"/>
      <c r="CCT3" s="132"/>
      <c r="CCU3" s="132"/>
      <c r="CCV3" s="132"/>
      <c r="CCW3" s="132"/>
      <c r="CCX3" s="132"/>
      <c r="CCY3" s="132"/>
      <c r="CCZ3" s="132"/>
      <c r="CDA3" s="132"/>
      <c r="CDB3" s="132"/>
      <c r="CDC3" s="132"/>
      <c r="CDD3" s="132"/>
      <c r="CDE3" s="132"/>
      <c r="CDF3" s="132"/>
      <c r="CDG3" s="132"/>
      <c r="CDH3" s="132"/>
      <c r="CDI3" s="132"/>
      <c r="CDJ3" s="132"/>
      <c r="CDK3" s="132"/>
      <c r="CDL3" s="132"/>
      <c r="CDM3" s="132"/>
      <c r="CDN3" s="132"/>
      <c r="CDO3" s="132"/>
      <c r="CDP3" s="132"/>
      <c r="CDQ3" s="132"/>
      <c r="CDR3" s="132"/>
      <c r="CDS3" s="132"/>
      <c r="CDT3" s="132"/>
      <c r="CDU3" s="132"/>
      <c r="CDV3" s="132"/>
      <c r="CDW3" s="132"/>
      <c r="CDX3" s="132"/>
      <c r="CDY3" s="132"/>
      <c r="CDZ3" s="132"/>
      <c r="CEA3" s="132"/>
      <c r="CEB3" s="132"/>
      <c r="CEC3" s="132"/>
      <c r="CED3" s="132"/>
      <c r="CEE3" s="132"/>
      <c r="CEF3" s="132"/>
      <c r="CEG3" s="132"/>
      <c r="CEH3" s="132"/>
      <c r="CEI3" s="132"/>
      <c r="CEJ3" s="132"/>
      <c r="CEK3" s="132"/>
      <c r="CEL3" s="132"/>
      <c r="CEM3" s="132"/>
      <c r="CEN3" s="132"/>
      <c r="CEO3" s="132"/>
      <c r="CEP3" s="132"/>
      <c r="CEQ3" s="132"/>
      <c r="CER3" s="132"/>
      <c r="CES3" s="132"/>
      <c r="CET3" s="132"/>
      <c r="CEU3" s="132"/>
      <c r="CEV3" s="132"/>
      <c r="CEW3" s="132"/>
      <c r="CEX3" s="132"/>
      <c r="CEY3" s="132"/>
      <c r="CEZ3" s="132"/>
      <c r="CFA3" s="132"/>
      <c r="CFB3" s="132"/>
      <c r="CFC3" s="132"/>
      <c r="CFD3" s="132"/>
      <c r="CFE3" s="132"/>
      <c r="CFF3" s="132"/>
      <c r="CFG3" s="132"/>
      <c r="CFH3" s="132"/>
      <c r="CFI3" s="132"/>
      <c r="CFJ3" s="132"/>
      <c r="CFK3" s="132"/>
      <c r="CFL3" s="132"/>
      <c r="CFM3" s="132"/>
      <c r="CFN3" s="132"/>
      <c r="CFO3" s="132"/>
      <c r="CFP3" s="132"/>
      <c r="CFQ3" s="132"/>
      <c r="CFR3" s="132"/>
      <c r="CFS3" s="132"/>
      <c r="CFT3" s="132"/>
      <c r="CFU3" s="132"/>
      <c r="CFV3" s="132"/>
      <c r="CFW3" s="132"/>
      <c r="CFX3" s="132"/>
      <c r="CFY3" s="132"/>
      <c r="CFZ3" s="132"/>
      <c r="CGA3" s="132"/>
      <c r="CGB3" s="132"/>
      <c r="CGC3" s="132"/>
      <c r="CGD3" s="132"/>
      <c r="CGE3" s="132"/>
      <c r="CGF3" s="132"/>
      <c r="CGG3" s="132"/>
      <c r="CGH3" s="132"/>
      <c r="CGI3" s="132"/>
      <c r="CGJ3" s="132"/>
      <c r="CGK3" s="132"/>
      <c r="CGL3" s="132"/>
      <c r="CGM3" s="132"/>
      <c r="CGN3" s="132"/>
      <c r="CGO3" s="132"/>
      <c r="CGP3" s="132"/>
      <c r="CGQ3" s="132"/>
      <c r="CGR3" s="132"/>
      <c r="CGS3" s="132"/>
      <c r="CGT3" s="132"/>
      <c r="CGU3" s="132"/>
      <c r="CGV3" s="132"/>
      <c r="CGW3" s="132"/>
      <c r="CGX3" s="132"/>
      <c r="CGY3" s="132"/>
      <c r="CGZ3" s="132"/>
      <c r="CHA3" s="132"/>
      <c r="CHB3" s="132"/>
      <c r="CHC3" s="132"/>
      <c r="CHD3" s="132"/>
      <c r="CHE3" s="132"/>
      <c r="CHF3" s="132"/>
      <c r="CHG3" s="132"/>
      <c r="CHH3" s="132"/>
      <c r="CHI3" s="132"/>
      <c r="CHJ3" s="132"/>
      <c r="CHK3" s="132"/>
      <c r="CHL3" s="132"/>
      <c r="CHM3" s="132"/>
      <c r="CHN3" s="132"/>
      <c r="CHO3" s="132"/>
      <c r="CHP3" s="132"/>
      <c r="CHQ3" s="132"/>
      <c r="CHR3" s="132"/>
      <c r="CHS3" s="132"/>
      <c r="CHT3" s="132"/>
      <c r="CHU3" s="132"/>
      <c r="CHV3" s="132"/>
      <c r="CHW3" s="132"/>
      <c r="CHX3" s="132"/>
      <c r="CHY3" s="132"/>
      <c r="CHZ3" s="132"/>
      <c r="CIA3" s="132"/>
      <c r="CIB3" s="132"/>
      <c r="CIC3" s="132"/>
      <c r="CID3" s="132"/>
      <c r="CIE3" s="132"/>
      <c r="CIF3" s="132"/>
      <c r="CIG3" s="132"/>
      <c r="CIH3" s="132"/>
      <c r="CII3" s="132"/>
      <c r="CIJ3" s="132"/>
      <c r="CIK3" s="132"/>
      <c r="CIL3" s="132"/>
      <c r="CIM3" s="132"/>
      <c r="CIN3" s="132"/>
      <c r="CIO3" s="132"/>
      <c r="CIP3" s="132"/>
      <c r="CIQ3" s="132"/>
      <c r="CIR3" s="132"/>
      <c r="CIS3" s="132"/>
      <c r="CIT3" s="132"/>
      <c r="CIU3" s="132"/>
      <c r="CIV3" s="132"/>
      <c r="CIW3" s="132"/>
      <c r="CIX3" s="132"/>
      <c r="CIY3" s="132"/>
      <c r="CIZ3" s="132"/>
      <c r="CJA3" s="132"/>
      <c r="CJB3" s="132"/>
      <c r="CJC3" s="132"/>
      <c r="CJD3" s="132"/>
      <c r="CJE3" s="132"/>
      <c r="CJF3" s="132"/>
      <c r="CJG3" s="132"/>
      <c r="CJH3" s="132"/>
      <c r="CJI3" s="132"/>
      <c r="CJJ3" s="132"/>
      <c r="CJK3" s="132"/>
      <c r="CJL3" s="132"/>
      <c r="CJM3" s="132"/>
      <c r="CJN3" s="132"/>
      <c r="CJO3" s="132"/>
      <c r="CJP3" s="132"/>
      <c r="CJQ3" s="132"/>
      <c r="CJR3" s="132"/>
      <c r="CJS3" s="132"/>
      <c r="CJT3" s="132"/>
      <c r="CJU3" s="132"/>
      <c r="CJV3" s="132"/>
      <c r="CJW3" s="132"/>
      <c r="CJX3" s="132"/>
      <c r="CJY3" s="132"/>
      <c r="CJZ3" s="132"/>
      <c r="CKA3" s="132"/>
      <c r="CKB3" s="132"/>
      <c r="CKC3" s="132"/>
      <c r="CKD3" s="132"/>
      <c r="CKE3" s="132"/>
      <c r="CKF3" s="132"/>
      <c r="CKG3" s="132"/>
      <c r="CKH3" s="132"/>
      <c r="CKI3" s="132"/>
      <c r="CKJ3" s="132"/>
      <c r="CKK3" s="132"/>
      <c r="CKL3" s="132"/>
      <c r="CKM3" s="132"/>
      <c r="CKN3" s="132"/>
      <c r="CKO3" s="132"/>
      <c r="CKP3" s="132"/>
      <c r="CKQ3" s="132"/>
      <c r="CKR3" s="132"/>
      <c r="CKS3" s="132"/>
      <c r="CKT3" s="132"/>
      <c r="CKU3" s="132"/>
      <c r="CKV3" s="132"/>
      <c r="CKW3" s="132"/>
      <c r="CKX3" s="132"/>
      <c r="CKY3" s="132"/>
      <c r="CKZ3" s="132"/>
      <c r="CLA3" s="132"/>
      <c r="CLB3" s="132"/>
      <c r="CLC3" s="132"/>
      <c r="CLD3" s="132"/>
      <c r="CLE3" s="132"/>
      <c r="CLF3" s="132"/>
      <c r="CLG3" s="132"/>
      <c r="CLH3" s="132"/>
      <c r="CLI3" s="132"/>
      <c r="CLJ3" s="132"/>
      <c r="CLK3" s="132"/>
      <c r="CLL3" s="132"/>
      <c r="CLM3" s="132"/>
      <c r="CLN3" s="132"/>
      <c r="CLO3" s="132"/>
      <c r="CLP3" s="132"/>
      <c r="CLQ3" s="132"/>
      <c r="CLR3" s="132"/>
      <c r="CLS3" s="132"/>
      <c r="CLT3" s="132"/>
      <c r="CLU3" s="132"/>
      <c r="CLV3" s="132"/>
      <c r="CLW3" s="132"/>
      <c r="CLX3" s="132"/>
      <c r="CLY3" s="132"/>
      <c r="CLZ3" s="132"/>
      <c r="CMA3" s="132"/>
      <c r="CMB3" s="132"/>
      <c r="CMC3" s="132"/>
      <c r="CMD3" s="132"/>
      <c r="CME3" s="132"/>
      <c r="CMF3" s="132"/>
      <c r="CMG3" s="132"/>
      <c r="CMH3" s="132"/>
      <c r="CMI3" s="132"/>
      <c r="CMJ3" s="132"/>
      <c r="CMK3" s="132"/>
      <c r="CML3" s="132"/>
      <c r="CMM3" s="132"/>
      <c r="CMN3" s="132"/>
      <c r="CMO3" s="132"/>
      <c r="CMP3" s="132"/>
      <c r="CMQ3" s="132"/>
      <c r="CMR3" s="132"/>
      <c r="CMS3" s="132"/>
      <c r="CMT3" s="132"/>
      <c r="CMU3" s="132"/>
      <c r="CMV3" s="132"/>
      <c r="CMW3" s="132"/>
      <c r="CMX3" s="132"/>
      <c r="CMY3" s="132"/>
      <c r="CMZ3" s="132"/>
      <c r="CNA3" s="132"/>
      <c r="CNB3" s="132"/>
      <c r="CNC3" s="132"/>
      <c r="CND3" s="132"/>
      <c r="CNE3" s="132"/>
      <c r="CNF3" s="132"/>
      <c r="CNG3" s="132"/>
      <c r="CNH3" s="132"/>
      <c r="CNI3" s="132"/>
      <c r="CNJ3" s="132"/>
      <c r="CNK3" s="132"/>
      <c r="CNL3" s="132"/>
      <c r="CNM3" s="132"/>
      <c r="CNN3" s="132"/>
      <c r="CNO3" s="132"/>
      <c r="CNP3" s="132"/>
      <c r="CNQ3" s="132"/>
      <c r="CNR3" s="132"/>
      <c r="CNS3" s="132"/>
      <c r="CNT3" s="132"/>
      <c r="CNU3" s="132"/>
      <c r="CNV3" s="132"/>
      <c r="CNW3" s="132"/>
      <c r="CNX3" s="132"/>
      <c r="CNY3" s="132"/>
      <c r="CNZ3" s="132"/>
      <c r="COA3" s="132"/>
      <c r="COB3" s="132"/>
      <c r="COC3" s="132"/>
      <c r="COD3" s="132"/>
      <c r="COE3" s="132"/>
      <c r="COF3" s="132"/>
      <c r="COG3" s="132"/>
      <c r="COH3" s="132"/>
      <c r="COI3" s="132"/>
      <c r="COJ3" s="132"/>
      <c r="COK3" s="132"/>
      <c r="COL3" s="132"/>
      <c r="COM3" s="132"/>
      <c r="CON3" s="132"/>
      <c r="COO3" s="132"/>
      <c r="COP3" s="132"/>
      <c r="COQ3" s="132"/>
      <c r="COR3" s="132"/>
      <c r="COS3" s="132"/>
      <c r="COT3" s="132"/>
      <c r="COU3" s="132"/>
      <c r="COV3" s="132"/>
      <c r="COW3" s="132"/>
      <c r="COX3" s="132"/>
      <c r="COY3" s="132"/>
      <c r="COZ3" s="132"/>
      <c r="CPA3" s="132"/>
      <c r="CPB3" s="132"/>
      <c r="CPC3" s="132"/>
      <c r="CPD3" s="132"/>
      <c r="CPE3" s="132"/>
      <c r="CPF3" s="132"/>
      <c r="CPG3" s="132"/>
      <c r="CPH3" s="132"/>
      <c r="CPI3" s="132"/>
      <c r="CPJ3" s="132"/>
      <c r="CPK3" s="132"/>
      <c r="CPL3" s="132"/>
      <c r="CPM3" s="132"/>
      <c r="CPN3" s="132"/>
      <c r="CPO3" s="132"/>
      <c r="CPP3" s="132"/>
      <c r="CPQ3" s="132"/>
      <c r="CPR3" s="132"/>
      <c r="CPS3" s="132"/>
      <c r="CPT3" s="132"/>
      <c r="CPU3" s="132"/>
      <c r="CPV3" s="132"/>
      <c r="CPW3" s="132"/>
      <c r="CPX3" s="132"/>
      <c r="CPY3" s="132"/>
      <c r="CPZ3" s="132"/>
      <c r="CQA3" s="132"/>
      <c r="CQB3" s="132"/>
      <c r="CQC3" s="132"/>
      <c r="CQD3" s="132"/>
      <c r="CQE3" s="132"/>
      <c r="CQF3" s="132"/>
      <c r="CQG3" s="132"/>
      <c r="CQH3" s="132"/>
      <c r="CQI3" s="132"/>
      <c r="CQJ3" s="132"/>
      <c r="CQK3" s="132"/>
      <c r="CQL3" s="132"/>
      <c r="CQM3" s="132"/>
      <c r="CQN3" s="132"/>
      <c r="CQO3" s="132"/>
      <c r="CQP3" s="132"/>
      <c r="CQQ3" s="132"/>
      <c r="CQR3" s="132"/>
      <c r="CQS3" s="132"/>
      <c r="CQT3" s="132"/>
      <c r="CQU3" s="132"/>
      <c r="CQV3" s="132"/>
      <c r="CQW3" s="132"/>
      <c r="CQX3" s="132"/>
      <c r="CQY3" s="132"/>
      <c r="CQZ3" s="132"/>
      <c r="CRA3" s="132"/>
      <c r="CRB3" s="132"/>
      <c r="CRC3" s="132"/>
      <c r="CRD3" s="132"/>
      <c r="CRE3" s="132"/>
      <c r="CRF3" s="132"/>
      <c r="CRG3" s="132"/>
      <c r="CRH3" s="132"/>
      <c r="CRI3" s="132"/>
      <c r="CRJ3" s="132"/>
      <c r="CRK3" s="132"/>
      <c r="CRL3" s="132"/>
      <c r="CRM3" s="132"/>
      <c r="CRN3" s="132"/>
      <c r="CRO3" s="132"/>
      <c r="CRP3" s="132"/>
      <c r="CRQ3" s="132"/>
      <c r="CRR3" s="132"/>
      <c r="CRS3" s="132"/>
      <c r="CRT3" s="132"/>
      <c r="CRU3" s="132"/>
      <c r="CRV3" s="132"/>
      <c r="CRW3" s="132"/>
      <c r="CRX3" s="132"/>
      <c r="CRY3" s="132"/>
      <c r="CRZ3" s="132"/>
      <c r="CSA3" s="132"/>
      <c r="CSB3" s="132"/>
      <c r="CSC3" s="132"/>
      <c r="CSD3" s="132"/>
      <c r="CSE3" s="132"/>
      <c r="CSF3" s="132"/>
      <c r="CSG3" s="132"/>
      <c r="CSH3" s="132"/>
      <c r="CSI3" s="132"/>
      <c r="CSJ3" s="132"/>
      <c r="CSK3" s="132"/>
      <c r="CSL3" s="132"/>
      <c r="CSM3" s="132"/>
      <c r="CSN3" s="132"/>
      <c r="CSO3" s="132"/>
      <c r="CSP3" s="132"/>
      <c r="CSQ3" s="132"/>
      <c r="CSR3" s="132"/>
      <c r="CSS3" s="132"/>
      <c r="CST3" s="132"/>
      <c r="CSU3" s="132"/>
      <c r="CSV3" s="132"/>
      <c r="CSW3" s="132"/>
      <c r="CSX3" s="132"/>
      <c r="CSY3" s="132"/>
      <c r="CSZ3" s="132"/>
      <c r="CTA3" s="132"/>
      <c r="CTB3" s="132"/>
      <c r="CTC3" s="132"/>
      <c r="CTD3" s="132"/>
      <c r="CTE3" s="132"/>
      <c r="CTF3" s="132"/>
      <c r="CTG3" s="132"/>
      <c r="CTH3" s="132"/>
      <c r="CTI3" s="132"/>
      <c r="CTJ3" s="132"/>
      <c r="CTK3" s="132"/>
      <c r="CTL3" s="132"/>
      <c r="CTM3" s="132"/>
      <c r="CTN3" s="132"/>
      <c r="CTO3" s="132"/>
      <c r="CTP3" s="132"/>
      <c r="CTQ3" s="132"/>
      <c r="CTR3" s="132"/>
      <c r="CTS3" s="132"/>
      <c r="CTT3" s="132"/>
      <c r="CTU3" s="132"/>
      <c r="CTV3" s="132"/>
      <c r="CTW3" s="132"/>
      <c r="CTX3" s="132"/>
      <c r="CTY3" s="132"/>
      <c r="CTZ3" s="132"/>
      <c r="CUA3" s="132"/>
    </row>
    <row r="4" ht="6" customHeight="1" spans="2:2">
      <c r="B4" s="126"/>
    </row>
    <row r="5" spans="1:4">
      <c r="A5" s="125" t="s">
        <v>7</v>
      </c>
      <c r="B5" s="133" t="str">
        <f t="shared" ref="B5:B8" si="0">A5</f>
        <v>&lt;head&gt;</v>
      </c>
      <c r="C5" s="133"/>
      <c r="D5" s="133" t="s">
        <v>2</v>
      </c>
    </row>
    <row r="6" spans="1:4">
      <c r="A6" s="125" t="s">
        <v>8</v>
      </c>
      <c r="B6" s="133" t="str">
        <f t="shared" si="0"/>
        <v>&lt;!-- Metaetiquetas --&gt;</v>
      </c>
      <c r="C6" s="133"/>
      <c r="D6" s="133" t="s">
        <v>2</v>
      </c>
    </row>
    <row r="7" spans="1:4">
      <c r="A7" s="125" t="s">
        <v>9</v>
      </c>
      <c r="B7" s="133" t="str">
        <f t="shared" si="0"/>
        <v>&lt;meta charset="utf-8" /&gt;</v>
      </c>
      <c r="C7" s="133"/>
      <c r="D7" s="133" t="s">
        <v>2</v>
      </c>
    </row>
    <row r="8" spans="1:4">
      <c r="A8" s="125" t="s">
        <v>10</v>
      </c>
      <c r="B8" s="133" t="str">
        <f t="shared" si="0"/>
        <v>&lt;meta name="viewport" content="width=device-width, initial-scale=1" /&gt;</v>
      </c>
      <c r="C8" s="133"/>
      <c r="D8" s="133" t="s">
        <v>2</v>
      </c>
    </row>
    <row r="9" spans="1:6">
      <c r="A9" s="127" t="s">
        <v>11</v>
      </c>
      <c r="B9" s="133" t="str">
        <f>CONCATENATE(E9,$C$3,F9)</f>
        <v>&lt;meta name="description" content="Índice de todos los artículos publicados en este sitio web sobre HTML, que estructura y organiza el contenido de las páginas web" /&gt;</v>
      </c>
      <c r="C9" s="133"/>
      <c r="D9" s="133" t="s">
        <v>2</v>
      </c>
      <c r="E9" s="125" t="s">
        <v>12</v>
      </c>
      <c r="F9" s="125" t="s">
        <v>13</v>
      </c>
    </row>
    <row r="10" spans="1:6">
      <c r="A10" s="127" t="s">
        <v>11</v>
      </c>
      <c r="B10" s="133" t="str">
        <f>CONCATENATE(E10,$C$1,F10)</f>
        <v>&lt;meta name="tittle" content="Índice de HTML - Ing. Eduardo Herrera Forero." /&gt;</v>
      </c>
      <c r="C10" s="133"/>
      <c r="D10" s="133" t="s">
        <v>2</v>
      </c>
      <c r="E10" s="125" t="s">
        <v>64</v>
      </c>
      <c r="F10" s="125" t="s">
        <v>13</v>
      </c>
    </row>
    <row r="11" spans="1:4">
      <c r="A11" s="125" t="s">
        <v>14</v>
      </c>
      <c r="B11" s="133" t="str">
        <f t="shared" ref="B11:B13" si="1">A11</f>
        <v>&lt;meta name="author" content="Ing. Eduardo Herrera Forero" /&gt;</v>
      </c>
      <c r="C11" s="133"/>
      <c r="D11" s="133" t="s">
        <v>2</v>
      </c>
    </row>
    <row r="12" spans="1:4">
      <c r="A12" s="125" t="s">
        <v>15</v>
      </c>
      <c r="B12" s="133" t="str">
        <f t="shared" si="1"/>
        <v>&lt;meta name="application-name" content="EHF" /&gt;</v>
      </c>
      <c r="C12" s="133"/>
      <c r="D12" s="133" t="s">
        <v>2</v>
      </c>
    </row>
    <row r="13" spans="1:4">
      <c r="A13" s="125" t="s">
        <v>16</v>
      </c>
      <c r="B13" s="133" t="str">
        <f t="shared" si="1"/>
        <v>&lt;meta name="robots" content="index, follow" /&gt;</v>
      </c>
      <c r="C13" s="133"/>
      <c r="D13" s="133" t="s">
        <v>2</v>
      </c>
    </row>
    <row r="14" spans="1:5">
      <c r="A14" s="129" t="s">
        <v>17</v>
      </c>
      <c r="B14" s="133" t="str">
        <f>CONCATENATE(E14,$A$2,$F$9)</f>
        <v>&lt;link rel="canonical" href="https://eduardoherreraf.github.io/html.html" /&gt;</v>
      </c>
      <c r="C14" s="133"/>
      <c r="D14" s="133" t="s">
        <v>2</v>
      </c>
      <c r="E14" s="125" t="s">
        <v>18</v>
      </c>
    </row>
    <row r="15" spans="1:4">
      <c r="A15" s="125" t="s">
        <v>19</v>
      </c>
      <c r="B15" s="133" t="str">
        <f t="shared" ref="B15:B18" si="2">A15</f>
        <v>&lt;!-- Fin Metaetiquetas --&gt;</v>
      </c>
      <c r="C15" s="133"/>
      <c r="D15" s="133" t="s">
        <v>2</v>
      </c>
    </row>
    <row r="16" spans="2:4">
      <c r="B16" s="133" t="s">
        <v>20</v>
      </c>
      <c r="C16" s="133"/>
      <c r="D16" s="133" t="s">
        <v>2</v>
      </c>
    </row>
    <row r="17" spans="1:3">
      <c r="A17" s="125" t="s">
        <v>21</v>
      </c>
      <c r="B17" s="133" t="str">
        <f t="shared" si="2"/>
        <v>&lt;!-- Open Graph data --&gt;</v>
      </c>
      <c r="C17" s="133"/>
    </row>
    <row r="18" spans="1:4">
      <c r="A18" s="125" t="s">
        <v>22</v>
      </c>
      <c r="B18" s="133" t="str">
        <f t="shared" si="2"/>
        <v>&lt;meta property="og:type" content="website" /&gt;</v>
      </c>
      <c r="C18" s="133"/>
      <c r="D18" s="133"/>
    </row>
    <row r="19" spans="1:5">
      <c r="A19" s="127" t="s">
        <v>23</v>
      </c>
      <c r="B19" s="133" t="str">
        <f>CONCATENATE(E19,$C$1,F9)</f>
        <v>&lt;meta property="og:title" content="Índice de HTML - Ing. Eduardo Herrera Forero." /&gt;</v>
      </c>
      <c r="C19" s="133"/>
      <c r="D19" s="133"/>
      <c r="E19" s="125" t="s">
        <v>24</v>
      </c>
    </row>
    <row r="20" spans="1:5">
      <c r="A20" s="136" t="s">
        <v>25</v>
      </c>
      <c r="B20" s="133" t="str">
        <f>CONCATENATE(E20,$C$3,$F$9)</f>
        <v>&lt;meta property="og:description" content="Índice de todos los artículos publicados en este sitio web sobre HTML, que estructura y organiza el contenido de las páginas web" /&gt;</v>
      </c>
      <c r="C20" s="133"/>
      <c r="D20" s="133"/>
      <c r="E20" s="125" t="s">
        <v>26</v>
      </c>
    </row>
    <row r="21" spans="2:6">
      <c r="B21" s="125" t="str">
        <f>CONCATENATE(E21,$D$2,F21)</f>
        <v>&lt;meta property="og:image" content="https://img12.pixhost.to/images/857/575188671_png-transparent-html5-plain-logo-icon-wbg.png" /&gt;</v>
      </c>
      <c r="C21" s="133"/>
      <c r="D21" s="133"/>
      <c r="E21" s="125" t="s">
        <v>65</v>
      </c>
      <c r="F21" s="125" t="s">
        <v>13</v>
      </c>
    </row>
    <row r="22" spans="1:6">
      <c r="A22" s="125" t="s">
        <v>28</v>
      </c>
      <c r="B22" s="125" t="str">
        <f>CONCATENATE(E22,$D$1,F22)</f>
        <v>&lt;meta property="og:image:alt" content="Índice de HTML - Ing. Eduardo Herrera Forero."/&gt;</v>
      </c>
      <c r="C22" s="133"/>
      <c r="D22" s="133"/>
      <c r="E22" s="125" t="s">
        <v>66</v>
      </c>
      <c r="F22" s="125" t="s">
        <v>67</v>
      </c>
    </row>
    <row r="23" spans="1:5">
      <c r="A23" s="129" t="s">
        <v>29</v>
      </c>
      <c r="B23" s="133" t="str">
        <f>CONCATENATE(E23,$A$2,$F$9)</f>
        <v>&lt;meta property="og:url" content="https://eduardoherreraf.github.io/html.html" /&gt;</v>
      </c>
      <c r="C23" s="133"/>
      <c r="D23" s="133"/>
      <c r="E23" s="125" t="s">
        <v>30</v>
      </c>
    </row>
    <row r="24" spans="1:4">
      <c r="A24" s="125" t="s">
        <v>31</v>
      </c>
      <c r="B24" s="133" t="str">
        <f t="shared" ref="B24:B27" si="3">A24</f>
        <v>&lt;meta property="og:locale" content="es_CO" /&gt;</v>
      </c>
      <c r="C24" s="133"/>
      <c r="D24" s="133"/>
    </row>
    <row r="25" spans="1:4">
      <c r="A25" s="125" t="s">
        <v>32</v>
      </c>
      <c r="B25" s="133" t="str">
        <f t="shared" si="3"/>
        <v>&lt;!-- fin Open Graph data --&gt;</v>
      </c>
      <c r="C25" s="133"/>
      <c r="D25" s="137"/>
    </row>
    <row r="26" spans="2:4">
      <c r="B26" s="133" t="s">
        <v>33</v>
      </c>
      <c r="C26" s="133"/>
      <c r="D26" s="133" t="s">
        <v>2</v>
      </c>
    </row>
    <row r="27" spans="1:4">
      <c r="A27" s="125" t="s">
        <v>34</v>
      </c>
      <c r="B27" s="133" t="str">
        <f t="shared" si="3"/>
        <v>&lt;!-- Twitter cards --&gt;</v>
      </c>
      <c r="C27" s="133"/>
      <c r="D27" s="133" t="s">
        <v>2</v>
      </c>
    </row>
    <row r="28" spans="2:4">
      <c r="B28" s="133" t="s">
        <v>68</v>
      </c>
      <c r="C28" s="133"/>
      <c r="D28" s="133" t="s">
        <v>2</v>
      </c>
    </row>
    <row r="29" spans="1:7">
      <c r="A29" s="127" t="s">
        <v>37</v>
      </c>
      <c r="B29" s="133" t="str">
        <f>CONCATENATE(E29,$C$1,$F$9)</f>
        <v>&lt;meta name="twitter:title" content="Índice de HTML - Ing. Eduardo Herrera Forero." /&gt;</v>
      </c>
      <c r="C29" s="133"/>
      <c r="D29" s="133" t="s">
        <v>2</v>
      </c>
      <c r="E29" s="125" t="s">
        <v>38</v>
      </c>
      <c r="G29"/>
    </row>
    <row r="30" spans="1:5">
      <c r="A30" s="136" t="s">
        <v>39</v>
      </c>
      <c r="B30" s="133" t="str">
        <f>CONCATENATE(E30,$C$3,$F$9)</f>
        <v>&lt;meta name="twitter:description" content="Índice de todos los artículos publicados en este sitio web sobre HTML, que estructura y organiza el contenido de las páginas web" /&gt;</v>
      </c>
      <c r="C30" s="133"/>
      <c r="E30" s="125" t="s">
        <v>40</v>
      </c>
    </row>
    <row r="31" spans="2:6">
      <c r="B31" s="125" t="str">
        <f>CONCATENATE(E31,$D$2,F31)</f>
        <v>&lt;meta name="twitter:image" content="https://img12.pixhost.to/images/857/575188671_png-transparent-html5-plain-logo-icon-wbg.png" /&gt;</v>
      </c>
      <c r="C31" s="133"/>
      <c r="E31" s="138" t="s">
        <v>69</v>
      </c>
      <c r="F31" s="138" t="s">
        <v>13</v>
      </c>
    </row>
    <row r="32" spans="1:6">
      <c r="A32" s="125" t="s">
        <v>42</v>
      </c>
      <c r="B32" s="125" t="str">
        <f>CONCATENATE(E32,$D$1,F32)</f>
        <v>&lt;meta name="twitter:image:alt" content="Índice de HTML - Ing. Eduardo Herrera Forero."&gt;</v>
      </c>
      <c r="C32" s="133"/>
      <c r="E32" s="133" t="s">
        <v>70</v>
      </c>
      <c r="F32" s="125" t="s">
        <v>71</v>
      </c>
    </row>
    <row r="33" spans="1:5">
      <c r="A33" s="127"/>
      <c r="B33" s="133" t="str">
        <f>CONCATENATE(E33,$A$2,$F$9)</f>
        <v>&lt;meta name="twitter:url" content="https://eduardoherreraf.github.io/html.html" /&gt;</v>
      </c>
      <c r="C33" s="133"/>
      <c r="D33" s="133" t="s">
        <v>2</v>
      </c>
      <c r="E33" s="125" t="s">
        <v>72</v>
      </c>
    </row>
    <row r="34" spans="2:3">
      <c r="B34" s="133" t="s">
        <v>36</v>
      </c>
      <c r="C34" s="133"/>
    </row>
    <row r="35" spans="1:12">
      <c r="A35" s="125" t="s">
        <v>43</v>
      </c>
      <c r="B35" s="133" t="str">
        <f t="shared" ref="B35:B46" si="4">A35</f>
        <v>&lt;!-- Fin Twitter cards --&gt;</v>
      </c>
      <c r="C35" s="133"/>
      <c r="L35" s="133"/>
    </row>
    <row r="36" spans="2:4">
      <c r="B36" s="133" t="s">
        <v>33</v>
      </c>
      <c r="C36" s="133"/>
      <c r="D36" s="133" t="s">
        <v>2</v>
      </c>
    </row>
    <row r="37" spans="1:4">
      <c r="A37" s="125" t="s">
        <v>44</v>
      </c>
      <c r="B37" s="133" t="str">
        <f t="shared" si="4"/>
        <v>&lt;!-- iconos --&gt;</v>
      </c>
      <c r="C37" s="133"/>
      <c r="D37" s="133" t="s">
        <v>2</v>
      </c>
    </row>
    <row r="38" spans="1:4">
      <c r="A38" s="125" t="s">
        <v>45</v>
      </c>
      <c r="B38" s="133" t="str">
        <f t="shared" si="4"/>
        <v>&lt;link rel="apple-touch-icon" sizes="180x180" href="apple-touch-icon.png" /&gt;</v>
      </c>
      <c r="C38" s="133"/>
      <c r="D38" s="133" t="s">
        <v>2</v>
      </c>
    </row>
    <row r="39" spans="1:4">
      <c r="A39" s="125" t="s">
        <v>46</v>
      </c>
      <c r="B39" s="133" t="str">
        <f t="shared" si="4"/>
        <v>&lt;link rel="icon" type="image/png" sizes="32x32" href="favicon-32x32.png" /&gt;</v>
      </c>
      <c r="C39" s="133"/>
      <c r="D39" s="133" t="s">
        <v>2</v>
      </c>
    </row>
    <row r="40" spans="1:4">
      <c r="A40" s="125" t="s">
        <v>47</v>
      </c>
      <c r="B40" s="133" t="str">
        <f t="shared" si="4"/>
        <v>&lt;link rel="icon" type="image/png" sizes="192x192" href="android-chrome-192x192.png"/&gt;</v>
      </c>
      <c r="C40" s="133"/>
      <c r="D40" s="133" t="s">
        <v>2</v>
      </c>
    </row>
    <row r="41" spans="1:4">
      <c r="A41" s="125" t="s">
        <v>48</v>
      </c>
      <c r="B41" s="133" t="str">
        <f t="shared" si="4"/>
        <v>&lt;link rel="icon" type="image/png" sizes="16x16" href="favicon-16x16.png" /&gt;</v>
      </c>
      <c r="C41" s="133"/>
      <c r="D41" s="133" t="s">
        <v>2</v>
      </c>
    </row>
    <row r="42" spans="1:4">
      <c r="A42" s="125" t="s">
        <v>49</v>
      </c>
      <c r="B42" s="133" t="str">
        <f t="shared" si="4"/>
        <v>&lt;link rel="manifest" href="site.webmanifest" /&gt;</v>
      </c>
      <c r="C42" s="133"/>
      <c r="D42" s="133" t="s">
        <v>2</v>
      </c>
    </row>
    <row r="43" spans="1:4">
      <c r="A43" s="125" t="s">
        <v>50</v>
      </c>
      <c r="B43" s="133" t="str">
        <f t="shared" si="4"/>
        <v>&lt;link rel="mask-icon" href="safari-pinned-tab.svg" color="#5bbad5" /&gt;</v>
      </c>
      <c r="C43" s="133"/>
      <c r="D43" s="133" t="s">
        <v>2</v>
      </c>
    </row>
    <row r="44" spans="1:4">
      <c r="A44" s="125" t="s">
        <v>51</v>
      </c>
      <c r="B44" s="133" t="str">
        <f t="shared" si="4"/>
        <v>&lt;meta name="msapplication-TileColor" content="#da532c" /&gt;</v>
      </c>
      <c r="C44" s="133"/>
      <c r="D44" s="133" t="s">
        <v>2</v>
      </c>
    </row>
    <row r="45" spans="1:4">
      <c r="A45" s="125" t="s">
        <v>52</v>
      </c>
      <c r="B45" s="133" t="str">
        <f t="shared" si="4"/>
        <v>&lt;meta name="theme-color" content="#ffffff" /&gt;</v>
      </c>
      <c r="C45" s="133"/>
      <c r="D45" s="133" t="s">
        <v>2</v>
      </c>
    </row>
    <row r="46" spans="1:4">
      <c r="A46" s="125" t="s">
        <v>53</v>
      </c>
      <c r="B46" s="133" t="str">
        <f t="shared" si="4"/>
        <v>&lt;!-- fin iconos --&gt;</v>
      </c>
      <c r="C46" s="133"/>
      <c r="D46" s="133" t="s">
        <v>2</v>
      </c>
    </row>
    <row r="47" spans="2:4">
      <c r="B47" s="133" t="s">
        <v>33</v>
      </c>
      <c r="C47" s="133"/>
      <c r="D47" s="133" t="s">
        <v>2</v>
      </c>
    </row>
    <row r="48" spans="1:4">
      <c r="A48" s="125" t="s">
        <v>54</v>
      </c>
      <c r="B48" s="133" t="str">
        <f t="shared" ref="B48:B52" si="5">A48</f>
        <v>&lt;title&gt;</v>
      </c>
      <c r="C48" s="133"/>
      <c r="D48" s="133" t="s">
        <v>2</v>
      </c>
    </row>
    <row r="49" spans="1:4">
      <c r="A49" s="127" t="s">
        <v>55</v>
      </c>
      <c r="B49" s="133" t="str">
        <f>C1</f>
        <v>Índice de HTML - Ing. Eduardo Herrera Forero.</v>
      </c>
      <c r="C49" s="133"/>
      <c r="D49" s="133" t="s">
        <v>2</v>
      </c>
    </row>
    <row r="50" spans="1:4">
      <c r="A50" s="125" t="s">
        <v>56</v>
      </c>
      <c r="B50" s="133" t="str">
        <f t="shared" si="5"/>
        <v>&lt;/title&gt;</v>
      </c>
      <c r="C50" s="133"/>
      <c r="D50" s="133" t="s">
        <v>2</v>
      </c>
    </row>
    <row r="51" spans="2:4">
      <c r="B51" s="133" t="s">
        <v>33</v>
      </c>
      <c r="C51" s="133"/>
      <c r="D51" s="133" t="s">
        <v>2</v>
      </c>
    </row>
    <row r="52" spans="1:4">
      <c r="A52" s="125" t="s">
        <v>57</v>
      </c>
      <c r="B52" s="133" t="str">
        <f t="shared" si="5"/>
        <v>&lt;script type="module" defer src="./js/main.js"&gt;&lt;/script&gt;</v>
      </c>
      <c r="C52" s="133"/>
      <c r="D52" s="133" t="s">
        <v>2</v>
      </c>
    </row>
    <row r="53" spans="2:4">
      <c r="B53" s="133" t="s">
        <v>33</v>
      </c>
      <c r="C53" s="133"/>
      <c r="D53" s="133" t="s">
        <v>2</v>
      </c>
    </row>
    <row r="54" spans="1:4">
      <c r="A54" s="125" t="s">
        <v>58</v>
      </c>
      <c r="B54" s="133" t="str">
        <f>A54</f>
        <v>&lt;meta name="google-site-verification" content="2H5ZMCD1_xl7oxaiqnopfdQBnIXVIOfmW0UBSa5sQJc"/&gt;</v>
      </c>
      <c r="C54" s="133"/>
      <c r="D54" s="133" t="s">
        <v>2</v>
      </c>
    </row>
    <row r="55" spans="1:4">
      <c r="A55" s="125" t="s">
        <v>59</v>
      </c>
      <c r="B55" s="133" t="str">
        <f>A55</f>
        <v>&lt;/head&gt;</v>
      </c>
      <c r="C55" s="133"/>
      <c r="D55" s="133" t="s">
        <v>2</v>
      </c>
    </row>
    <row r="56" spans="4:4">
      <c r="D56" s="133" t="s">
        <v>2</v>
      </c>
    </row>
  </sheetData>
  <hyperlinks>
    <hyperlink ref="A2" r:id="rId1" display="=CONCATENAR(&quot;https://eduardoherreraf.github.io/&quot;;C2)" tooltip="https://git-introduccion_de_git_para_windows.html"/>
    <hyperlink ref="D2" r:id="rId2" display="https://img12.pixhost.to/images/857/575188671_png-transparent-html5-plain-logo-icon-wbg.png" tooltip="https://img12.pixhost.to/images/857/575188671_png-transparent-html5-plain-logo-icon-wbg.png"/>
  </hyperlinks>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58"/>
  <sheetViews>
    <sheetView zoomScale="120" zoomScaleNormal="120" workbookViewId="0">
      <pane xSplit="1" ySplit="5" topLeftCell="B39" activePane="bottomRight" state="frozen"/>
      <selection/>
      <selection pane="topRight"/>
      <selection pane="bottomLeft"/>
      <selection pane="bottomRight" activeCell="B7" sqref="B7:B57"/>
    </sheetView>
  </sheetViews>
  <sheetFormatPr defaultColWidth="11" defaultRowHeight="13.8"/>
  <cols>
    <col min="1" max="1" width="0.158333333333333" style="125" customWidth="1"/>
    <col min="2" max="2" width="61.1416666666667" style="125" customWidth="1"/>
    <col min="3" max="3" width="63.6416666666667" style="125" customWidth="1"/>
    <col min="4" max="4" width="35.2" style="125" customWidth="1"/>
    <col min="5" max="5" width="35" style="125" customWidth="1"/>
    <col min="6" max="16383" width="11" style="125"/>
    <col min="16384" max="16384" width="11" style="74"/>
  </cols>
  <sheetData>
    <row r="1" spans="2:3">
      <c r="B1" s="126" t="s">
        <v>0</v>
      </c>
      <c r="C1" s="127" t="s">
        <v>73</v>
      </c>
    </row>
    <row r="2" spans="1:3">
      <c r="A2" s="128" t="str">
        <f>CONCATENATE("https://eduardoherreraf.github.io/",C2)</f>
        <v>https://eduardoherreraf.github.io/html-07_formato_de_texto.html</v>
      </c>
      <c r="B2" s="126" t="s">
        <v>3</v>
      </c>
      <c r="C2" s="129" t="s">
        <v>74</v>
      </c>
    </row>
    <row r="3" customFormat="1" spans="1:2575">
      <c r="A3" s="128"/>
      <c r="B3" s="126" t="s">
        <v>75</v>
      </c>
      <c r="C3" s="130" t="s">
        <v>76</v>
      </c>
      <c r="D3" s="125" t="s">
        <v>77</v>
      </c>
      <c r="E3" s="131" t="s">
        <v>78</v>
      </c>
      <c r="F3" s="125"/>
      <c r="G3" s="125"/>
      <c r="H3" s="125"/>
      <c r="I3" s="125"/>
      <c r="J3" s="125"/>
      <c r="K3" s="125"/>
      <c r="L3" s="125"/>
      <c r="M3" s="125"/>
      <c r="N3" s="125"/>
      <c r="O3" s="125"/>
      <c r="P3" s="125"/>
      <c r="Q3" s="125"/>
      <c r="R3" s="125"/>
      <c r="S3" s="125"/>
      <c r="T3" s="125"/>
      <c r="U3" s="125"/>
      <c r="V3" s="125"/>
      <c r="W3" s="125"/>
      <c r="X3" s="125"/>
      <c r="Y3" s="125"/>
      <c r="Z3" s="125"/>
      <c r="AA3" s="125"/>
      <c r="AB3" s="125"/>
      <c r="AC3" s="125"/>
      <c r="AD3" s="125"/>
      <c r="AE3" s="125"/>
      <c r="AF3" s="125"/>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c r="BX3" s="125"/>
      <c r="BY3" s="125"/>
      <c r="BZ3" s="125"/>
      <c r="CA3" s="125"/>
      <c r="CB3" s="125"/>
      <c r="CC3" s="125"/>
      <c r="CD3" s="125"/>
      <c r="CE3" s="125"/>
      <c r="CF3" s="125"/>
      <c r="CG3" s="125"/>
      <c r="CH3" s="125"/>
      <c r="CI3" s="125"/>
      <c r="CJ3" s="125"/>
      <c r="CK3" s="125"/>
      <c r="CL3" s="125"/>
      <c r="CM3" s="125"/>
      <c r="CN3" s="125"/>
      <c r="CO3" s="125"/>
      <c r="CP3" s="125"/>
      <c r="CQ3" s="125"/>
      <c r="CR3" s="125"/>
      <c r="CS3" s="125"/>
      <c r="CT3" s="125"/>
      <c r="CU3" s="125"/>
      <c r="CV3" s="125"/>
      <c r="CW3" s="125"/>
      <c r="CX3" s="125"/>
      <c r="CY3" s="125"/>
      <c r="CZ3" s="125"/>
      <c r="DA3" s="125"/>
      <c r="DB3" s="125"/>
      <c r="DC3" s="125"/>
      <c r="DD3" s="125"/>
      <c r="DE3" s="125"/>
      <c r="DF3" s="125"/>
      <c r="DG3" s="125"/>
      <c r="DH3" s="125"/>
      <c r="DI3" s="125"/>
      <c r="DJ3" s="125"/>
      <c r="DK3" s="125"/>
      <c r="DL3" s="125"/>
      <c r="DM3" s="125"/>
      <c r="DN3" s="125"/>
      <c r="DO3" s="125"/>
      <c r="DP3" s="125"/>
      <c r="DQ3" s="125"/>
      <c r="DR3" s="125"/>
      <c r="DS3" s="125"/>
      <c r="DT3" s="125"/>
      <c r="DU3" s="125"/>
      <c r="DV3" s="125"/>
      <c r="DW3" s="125"/>
      <c r="DX3" s="125"/>
      <c r="DY3" s="125"/>
      <c r="DZ3" s="125"/>
      <c r="EA3" s="125"/>
      <c r="EB3" s="125"/>
      <c r="EC3" s="125"/>
      <c r="ED3" s="125"/>
      <c r="EE3" s="125"/>
      <c r="EF3" s="125"/>
      <c r="EG3" s="125"/>
      <c r="EH3" s="125"/>
      <c r="EI3" s="125"/>
      <c r="EJ3" s="125"/>
      <c r="EK3" s="125"/>
      <c r="EL3" s="125"/>
      <c r="EM3" s="125"/>
      <c r="EN3" s="125"/>
      <c r="EO3" s="125"/>
      <c r="EP3" s="125"/>
      <c r="EQ3" s="125"/>
      <c r="ER3" s="125"/>
      <c r="ES3" s="125"/>
      <c r="ET3" s="125"/>
      <c r="EU3" s="125"/>
      <c r="EV3" s="125"/>
      <c r="EW3" s="125"/>
      <c r="EX3" s="125"/>
      <c r="EY3" s="125"/>
      <c r="EZ3" s="125"/>
      <c r="FA3" s="125"/>
      <c r="FB3" s="125"/>
      <c r="FC3" s="125"/>
      <c r="FD3" s="125"/>
      <c r="FE3" s="125"/>
      <c r="FF3" s="125"/>
      <c r="FG3" s="125"/>
      <c r="FH3" s="125"/>
      <c r="FI3" s="125"/>
      <c r="FJ3" s="125"/>
      <c r="FK3" s="125"/>
      <c r="FL3" s="125"/>
      <c r="FM3" s="125"/>
      <c r="FN3" s="125"/>
      <c r="FO3" s="125"/>
      <c r="FP3" s="125"/>
      <c r="FQ3" s="125"/>
      <c r="FR3" s="125"/>
      <c r="FS3" s="125"/>
      <c r="FT3" s="125"/>
      <c r="FU3" s="125"/>
      <c r="FV3" s="125"/>
      <c r="FW3" s="125"/>
      <c r="FX3" s="125"/>
      <c r="FY3" s="125"/>
      <c r="FZ3" s="125"/>
      <c r="GA3" s="125"/>
      <c r="GB3" s="125"/>
      <c r="GC3" s="125"/>
      <c r="GD3" s="125"/>
      <c r="GE3" s="125"/>
      <c r="GF3" s="125"/>
      <c r="GG3" s="125"/>
      <c r="GH3" s="125"/>
      <c r="GI3" s="125"/>
      <c r="GJ3" s="125"/>
      <c r="GK3" s="125"/>
      <c r="GL3" s="125"/>
      <c r="GM3" s="125"/>
      <c r="GN3" s="125"/>
      <c r="GO3" s="125"/>
      <c r="GP3" s="125"/>
      <c r="GQ3" s="125"/>
      <c r="GR3" s="125"/>
      <c r="GS3" s="125"/>
      <c r="GT3" s="125"/>
      <c r="GU3" s="125"/>
      <c r="GV3" s="125"/>
      <c r="GW3" s="125"/>
      <c r="GX3" s="125"/>
      <c r="GY3" s="125"/>
      <c r="GZ3" s="125"/>
      <c r="HA3" s="125"/>
      <c r="HB3" s="125"/>
      <c r="HC3" s="125"/>
      <c r="HD3" s="125"/>
      <c r="HE3" s="125"/>
      <c r="HF3" s="125"/>
      <c r="HG3" s="125"/>
      <c r="HH3" s="125"/>
      <c r="HI3" s="125"/>
      <c r="HJ3" s="125"/>
      <c r="HK3" s="125"/>
      <c r="HL3" s="125"/>
      <c r="HM3" s="125"/>
      <c r="HN3" s="125"/>
      <c r="HO3" s="125"/>
      <c r="HP3" s="125"/>
      <c r="HQ3" s="125"/>
      <c r="HR3" s="125"/>
      <c r="HS3" s="125"/>
      <c r="HT3" s="125"/>
      <c r="HU3" s="125"/>
      <c r="HV3" s="125"/>
      <c r="HW3" s="125"/>
      <c r="HX3" s="125"/>
      <c r="HY3" s="125"/>
      <c r="HZ3" s="125"/>
      <c r="IA3" s="125"/>
      <c r="IB3" s="125"/>
      <c r="IC3" s="125"/>
      <c r="ID3" s="125"/>
      <c r="IE3" s="125"/>
      <c r="IF3" s="125"/>
      <c r="IG3" s="125"/>
      <c r="IH3" s="125"/>
      <c r="II3" s="125"/>
      <c r="IJ3" s="125"/>
      <c r="IK3" s="125"/>
      <c r="IL3" s="125"/>
      <c r="IM3" s="125"/>
      <c r="IN3" s="125"/>
      <c r="IO3" s="125"/>
      <c r="IP3" s="125"/>
      <c r="IQ3" s="125"/>
      <c r="IR3" s="125"/>
      <c r="IS3" s="125"/>
      <c r="IT3" s="125"/>
      <c r="IU3" s="125"/>
      <c r="IV3" s="125"/>
      <c r="IW3" s="125"/>
      <c r="IX3" s="125"/>
      <c r="IY3" s="125"/>
      <c r="IZ3" s="125"/>
      <c r="JA3" s="125"/>
      <c r="JB3" s="125"/>
      <c r="JC3" s="125"/>
      <c r="JD3" s="125"/>
      <c r="JE3" s="125"/>
      <c r="JF3" s="125"/>
      <c r="JG3" s="125"/>
      <c r="JH3" s="125"/>
      <c r="JI3" s="125"/>
      <c r="JJ3" s="125"/>
      <c r="JK3" s="125"/>
      <c r="JL3" s="125"/>
      <c r="JM3" s="125"/>
      <c r="JN3" s="125"/>
      <c r="JO3" s="125"/>
      <c r="JP3" s="125"/>
      <c r="JQ3" s="125"/>
      <c r="JR3" s="125"/>
      <c r="JS3" s="125"/>
      <c r="JT3" s="125"/>
      <c r="JU3" s="125"/>
      <c r="JV3" s="125"/>
      <c r="JW3" s="125"/>
      <c r="JX3" s="125"/>
      <c r="JY3" s="125"/>
      <c r="JZ3" s="125"/>
      <c r="KA3" s="125"/>
      <c r="KB3" s="125"/>
      <c r="KC3" s="125"/>
      <c r="KD3" s="125"/>
      <c r="KE3" s="125"/>
      <c r="KF3" s="125"/>
      <c r="KG3" s="125"/>
      <c r="KH3" s="125"/>
      <c r="KI3" s="125"/>
      <c r="KJ3" s="125"/>
      <c r="KK3" s="125"/>
      <c r="KL3" s="125"/>
      <c r="KM3" s="125"/>
      <c r="KN3" s="125"/>
      <c r="KO3" s="125"/>
      <c r="KP3" s="125"/>
      <c r="KQ3" s="125"/>
      <c r="KR3" s="125"/>
      <c r="KS3" s="125"/>
      <c r="KT3" s="125"/>
      <c r="KU3" s="125"/>
      <c r="KV3" s="125"/>
      <c r="KW3" s="125"/>
      <c r="KX3" s="125"/>
      <c r="KY3" s="125"/>
      <c r="KZ3" s="125"/>
      <c r="LA3" s="125"/>
      <c r="LB3" s="125"/>
      <c r="LC3" s="125"/>
      <c r="LD3" s="125"/>
      <c r="LE3" s="125"/>
      <c r="LF3" s="125"/>
      <c r="LG3" s="125"/>
      <c r="LH3" s="125"/>
      <c r="LI3" s="125"/>
      <c r="LJ3" s="125"/>
      <c r="LK3" s="125"/>
      <c r="LL3" s="125"/>
      <c r="LM3" s="125"/>
      <c r="LN3" s="125"/>
      <c r="LO3" s="125"/>
      <c r="LP3" s="125"/>
      <c r="LQ3" s="125"/>
      <c r="LR3" s="125"/>
      <c r="LS3" s="125"/>
      <c r="LT3" s="125"/>
      <c r="LU3" s="125"/>
      <c r="LV3" s="125"/>
      <c r="LW3" s="125"/>
      <c r="LX3" s="125"/>
      <c r="LY3" s="125"/>
      <c r="LZ3" s="125"/>
      <c r="MA3" s="125"/>
      <c r="MB3" s="125"/>
      <c r="MC3" s="125"/>
      <c r="MD3" s="125"/>
      <c r="ME3" s="125"/>
      <c r="MF3" s="125"/>
      <c r="MG3" s="125"/>
      <c r="MH3" s="125"/>
      <c r="MI3" s="125"/>
      <c r="MJ3" s="125"/>
      <c r="MK3" s="125"/>
      <c r="ML3" s="125"/>
      <c r="MM3" s="125"/>
      <c r="MN3" s="125"/>
      <c r="MO3" s="125"/>
      <c r="MP3" s="125"/>
      <c r="MQ3" s="125"/>
      <c r="MR3" s="125"/>
      <c r="MS3" s="125"/>
      <c r="MT3" s="125"/>
      <c r="MU3" s="125"/>
      <c r="MV3" s="125"/>
      <c r="MW3" s="125"/>
      <c r="MX3" s="125"/>
      <c r="MY3" s="125"/>
      <c r="MZ3" s="125"/>
      <c r="NA3" s="125"/>
      <c r="NB3" s="125"/>
      <c r="NC3" s="125"/>
      <c r="ND3" s="125"/>
      <c r="NE3" s="125"/>
      <c r="NF3" s="125"/>
      <c r="NG3" s="125"/>
      <c r="NH3" s="125"/>
      <c r="NI3" s="125"/>
      <c r="NJ3" s="125"/>
      <c r="NK3" s="125"/>
      <c r="NL3" s="125"/>
      <c r="NM3" s="125"/>
      <c r="NN3" s="125"/>
      <c r="NO3" s="125"/>
      <c r="NP3" s="125"/>
      <c r="NQ3" s="125"/>
      <c r="NR3" s="125"/>
      <c r="NS3" s="125"/>
      <c r="NT3" s="125"/>
      <c r="NU3" s="125"/>
      <c r="NV3" s="125"/>
      <c r="NW3" s="125"/>
      <c r="NX3" s="125"/>
      <c r="NY3" s="125"/>
      <c r="NZ3" s="125"/>
      <c r="OA3" s="125"/>
      <c r="OB3" s="125"/>
      <c r="OC3" s="125"/>
      <c r="OD3" s="125"/>
      <c r="OE3" s="125"/>
      <c r="OF3" s="125"/>
      <c r="OG3" s="125"/>
      <c r="OH3" s="125"/>
      <c r="OI3" s="125"/>
      <c r="OJ3" s="125"/>
      <c r="OK3" s="125"/>
      <c r="OL3" s="125"/>
      <c r="OM3" s="125"/>
      <c r="ON3" s="125"/>
      <c r="OO3" s="125"/>
      <c r="OP3" s="125"/>
      <c r="OQ3" s="125"/>
      <c r="OR3" s="125"/>
      <c r="OS3" s="125"/>
      <c r="OT3" s="125"/>
      <c r="OU3" s="125"/>
      <c r="OV3" s="125"/>
      <c r="OW3" s="125"/>
      <c r="OX3" s="125"/>
      <c r="OY3" s="125"/>
      <c r="OZ3" s="125"/>
      <c r="PA3" s="125"/>
      <c r="PB3" s="125"/>
      <c r="PC3" s="125"/>
      <c r="PD3" s="125"/>
      <c r="PE3" s="125"/>
      <c r="PF3" s="125"/>
      <c r="PG3" s="125"/>
      <c r="PH3" s="125"/>
      <c r="PI3" s="125"/>
      <c r="PJ3" s="125"/>
      <c r="PK3" s="125"/>
      <c r="PL3" s="125"/>
      <c r="PM3" s="125"/>
      <c r="PN3" s="125"/>
      <c r="PO3" s="125"/>
      <c r="PP3" s="125"/>
      <c r="PQ3" s="125"/>
      <c r="PR3" s="125"/>
      <c r="PS3" s="125"/>
      <c r="PT3" s="125"/>
      <c r="PU3" s="125"/>
      <c r="PV3" s="125"/>
      <c r="PW3" s="125"/>
      <c r="PX3" s="125"/>
      <c r="PY3" s="125"/>
      <c r="PZ3" s="125"/>
      <c r="QA3" s="125"/>
      <c r="QB3" s="125"/>
      <c r="QC3" s="125"/>
      <c r="QD3" s="125"/>
      <c r="QE3" s="125"/>
      <c r="QF3" s="125"/>
      <c r="QG3" s="125"/>
      <c r="QH3" s="125"/>
      <c r="QI3" s="125"/>
      <c r="QJ3" s="125"/>
      <c r="QK3" s="125"/>
      <c r="QL3" s="125"/>
      <c r="QM3" s="125"/>
      <c r="QN3" s="125"/>
      <c r="QO3" s="125"/>
      <c r="QP3" s="125"/>
      <c r="QQ3" s="125"/>
      <c r="QR3" s="125"/>
      <c r="QS3" s="125"/>
      <c r="QT3" s="125"/>
      <c r="QU3" s="125"/>
      <c r="QV3" s="125"/>
      <c r="QW3" s="125"/>
      <c r="QX3" s="125"/>
      <c r="QY3" s="125"/>
      <c r="QZ3" s="125"/>
      <c r="RA3" s="125"/>
      <c r="RB3" s="125"/>
      <c r="RC3" s="125"/>
      <c r="RD3" s="125"/>
      <c r="RE3" s="125"/>
      <c r="RF3" s="125"/>
      <c r="RG3" s="125"/>
      <c r="RH3" s="125"/>
      <c r="RI3" s="125"/>
      <c r="RJ3" s="125"/>
      <c r="RK3" s="125"/>
      <c r="RL3" s="125"/>
      <c r="RM3" s="125"/>
      <c r="RN3" s="125"/>
      <c r="RO3" s="125"/>
      <c r="RP3" s="125"/>
      <c r="RQ3" s="125"/>
      <c r="RR3" s="125"/>
      <c r="RS3" s="125"/>
      <c r="RT3" s="125"/>
      <c r="RU3" s="125"/>
      <c r="RV3" s="125"/>
      <c r="RW3" s="125"/>
      <c r="RX3" s="125"/>
      <c r="RY3" s="125"/>
      <c r="RZ3" s="125"/>
      <c r="SA3" s="125"/>
      <c r="SB3" s="125"/>
      <c r="SC3" s="125"/>
      <c r="SD3" s="125"/>
      <c r="SE3" s="125"/>
      <c r="SF3" s="125"/>
      <c r="SG3" s="125"/>
      <c r="SH3" s="125"/>
      <c r="SI3" s="125"/>
      <c r="SJ3" s="125"/>
      <c r="SK3" s="125"/>
      <c r="SL3" s="125"/>
      <c r="SM3" s="125"/>
      <c r="SN3" s="125"/>
      <c r="SO3" s="125"/>
      <c r="SP3" s="125"/>
      <c r="SQ3" s="125"/>
      <c r="SR3" s="125"/>
      <c r="SS3" s="125"/>
      <c r="ST3" s="125"/>
      <c r="SU3" s="125"/>
      <c r="SV3" s="125"/>
      <c r="SW3" s="125"/>
      <c r="SX3" s="125"/>
      <c r="SY3" s="125"/>
      <c r="SZ3" s="125"/>
      <c r="TA3" s="125"/>
      <c r="TB3" s="125"/>
      <c r="TC3" s="125"/>
      <c r="TD3" s="125"/>
      <c r="TE3" s="125"/>
      <c r="TF3" s="125"/>
      <c r="TG3" s="125"/>
      <c r="TH3" s="125"/>
      <c r="TI3" s="125"/>
      <c r="TJ3" s="125"/>
      <c r="TK3" s="125"/>
      <c r="TL3" s="125"/>
      <c r="TM3" s="125"/>
      <c r="TN3" s="125"/>
      <c r="TO3" s="125"/>
      <c r="TP3" s="125"/>
      <c r="TQ3" s="125"/>
      <c r="TR3" s="125"/>
      <c r="TS3" s="125"/>
      <c r="TT3" s="125"/>
      <c r="TU3" s="125"/>
      <c r="TV3" s="125"/>
      <c r="TW3" s="125"/>
      <c r="TX3" s="125"/>
      <c r="TY3" s="125"/>
      <c r="TZ3" s="125"/>
      <c r="UA3" s="125"/>
      <c r="UB3" s="125"/>
      <c r="UC3" s="125"/>
      <c r="UD3" s="125"/>
      <c r="UE3" s="125"/>
      <c r="UF3" s="125"/>
      <c r="UG3" s="125"/>
      <c r="UH3" s="125"/>
      <c r="UI3" s="125"/>
      <c r="UJ3" s="125"/>
      <c r="UK3" s="125"/>
      <c r="UL3" s="125"/>
      <c r="UM3" s="125"/>
      <c r="UN3" s="125"/>
      <c r="UO3" s="125"/>
      <c r="UP3" s="125"/>
      <c r="UQ3" s="125"/>
      <c r="UR3" s="125"/>
      <c r="US3" s="125"/>
      <c r="UT3" s="125"/>
      <c r="UU3" s="125"/>
      <c r="UV3" s="125"/>
      <c r="UW3" s="125"/>
      <c r="UX3" s="125"/>
      <c r="UY3" s="125"/>
      <c r="UZ3" s="125"/>
      <c r="VA3" s="125"/>
      <c r="VB3" s="125"/>
      <c r="VC3" s="125"/>
      <c r="VD3" s="125"/>
      <c r="VE3" s="125"/>
      <c r="VF3" s="125"/>
      <c r="VG3" s="125"/>
      <c r="VH3" s="125"/>
      <c r="VI3" s="125"/>
      <c r="VJ3" s="125"/>
      <c r="VK3" s="125"/>
      <c r="VL3" s="125"/>
      <c r="VM3" s="125"/>
      <c r="VN3" s="125"/>
      <c r="VO3" s="125"/>
      <c r="VP3" s="125"/>
      <c r="VQ3" s="125"/>
      <c r="VR3" s="125"/>
      <c r="VS3" s="125"/>
      <c r="VT3" s="125"/>
      <c r="VU3" s="125"/>
      <c r="VV3" s="125"/>
      <c r="VW3" s="125"/>
      <c r="VX3" s="125"/>
      <c r="VY3" s="125"/>
      <c r="VZ3" s="125"/>
      <c r="WA3" s="125"/>
      <c r="WB3" s="125"/>
      <c r="WC3" s="125"/>
      <c r="WD3" s="125"/>
      <c r="WE3" s="125"/>
      <c r="WF3" s="125"/>
      <c r="WG3" s="125"/>
      <c r="WH3" s="125"/>
      <c r="WI3" s="125"/>
      <c r="WJ3" s="125"/>
      <c r="WK3" s="125"/>
      <c r="WL3" s="125"/>
      <c r="WM3" s="125"/>
      <c r="WN3" s="125"/>
      <c r="WO3" s="125"/>
      <c r="WP3" s="125"/>
      <c r="WQ3" s="125"/>
      <c r="WR3" s="125"/>
      <c r="WS3" s="125"/>
      <c r="WT3" s="125"/>
      <c r="WU3" s="125"/>
      <c r="WV3" s="125"/>
      <c r="WW3" s="125"/>
      <c r="WX3" s="125"/>
      <c r="WY3" s="125"/>
      <c r="WZ3" s="125"/>
      <c r="XA3" s="125"/>
      <c r="XB3" s="125"/>
      <c r="XC3" s="125"/>
      <c r="XD3" s="125"/>
      <c r="XE3" s="125"/>
      <c r="XF3" s="125"/>
      <c r="XG3" s="125"/>
      <c r="XH3" s="125"/>
      <c r="XI3" s="125"/>
      <c r="XJ3" s="125"/>
      <c r="XK3" s="125"/>
      <c r="XL3" s="125"/>
      <c r="XM3" s="125"/>
      <c r="XN3" s="125"/>
      <c r="XO3" s="125"/>
      <c r="XP3" s="125"/>
      <c r="XQ3" s="125"/>
      <c r="XR3" s="125"/>
      <c r="XS3" s="125"/>
      <c r="XT3" s="125"/>
      <c r="XU3" s="125"/>
      <c r="XV3" s="125"/>
      <c r="XW3" s="125"/>
      <c r="XX3" s="125"/>
      <c r="XY3" s="125"/>
      <c r="XZ3" s="125"/>
      <c r="YA3" s="125"/>
      <c r="YB3" s="125"/>
      <c r="YC3" s="125"/>
      <c r="YD3" s="125"/>
      <c r="YE3" s="125"/>
      <c r="YF3" s="125"/>
      <c r="YG3" s="125"/>
      <c r="YH3" s="125"/>
      <c r="YI3" s="125"/>
      <c r="YJ3" s="125"/>
      <c r="YK3" s="125"/>
      <c r="YL3" s="125"/>
      <c r="YM3" s="125"/>
      <c r="YN3" s="125"/>
      <c r="YO3" s="125"/>
      <c r="YP3" s="125"/>
      <c r="YQ3" s="125"/>
      <c r="YR3" s="125"/>
      <c r="YS3" s="125"/>
      <c r="YT3" s="125"/>
      <c r="YU3" s="125"/>
      <c r="YV3" s="125"/>
      <c r="YW3" s="125"/>
      <c r="YX3" s="125"/>
      <c r="YY3" s="125"/>
      <c r="YZ3" s="125"/>
      <c r="ZA3" s="125"/>
      <c r="ZB3" s="125"/>
      <c r="ZC3" s="125"/>
      <c r="ZD3" s="125"/>
      <c r="ZE3" s="125"/>
      <c r="ZF3" s="125"/>
      <c r="ZG3" s="125"/>
      <c r="ZH3" s="125"/>
      <c r="ZI3" s="125"/>
      <c r="ZJ3" s="125"/>
      <c r="ZK3" s="125"/>
      <c r="ZL3" s="125"/>
      <c r="ZM3" s="125"/>
      <c r="ZN3" s="125"/>
      <c r="ZO3" s="125"/>
      <c r="ZP3" s="125"/>
      <c r="ZQ3" s="125"/>
      <c r="ZR3" s="125"/>
      <c r="ZS3" s="125"/>
      <c r="ZT3" s="125"/>
      <c r="ZU3" s="125"/>
      <c r="ZV3" s="125"/>
      <c r="ZW3" s="125"/>
      <c r="ZX3" s="125"/>
      <c r="ZY3" s="125"/>
      <c r="ZZ3" s="125"/>
      <c r="AAA3" s="125"/>
      <c r="AAB3" s="125"/>
      <c r="AAC3" s="125"/>
      <c r="AAD3" s="125"/>
      <c r="AAE3" s="125"/>
      <c r="AAF3" s="125"/>
      <c r="AAG3" s="125"/>
      <c r="AAH3" s="125"/>
      <c r="AAI3" s="125"/>
      <c r="AAJ3" s="125"/>
      <c r="AAK3" s="125"/>
      <c r="AAL3" s="125"/>
      <c r="AAM3" s="125"/>
      <c r="AAN3" s="125"/>
      <c r="AAO3" s="125"/>
      <c r="AAP3" s="125"/>
      <c r="AAQ3" s="125"/>
      <c r="AAR3" s="125"/>
      <c r="AAS3" s="125"/>
      <c r="AAT3" s="125"/>
      <c r="AAU3" s="125"/>
      <c r="AAV3" s="125"/>
      <c r="AAW3" s="125"/>
      <c r="AAX3" s="125"/>
      <c r="AAY3" s="125"/>
      <c r="AAZ3" s="125"/>
      <c r="ABA3" s="125"/>
      <c r="ABB3" s="125"/>
      <c r="ABC3" s="125"/>
      <c r="ABD3" s="125"/>
      <c r="ABE3" s="125"/>
      <c r="ABF3" s="125"/>
      <c r="ABG3" s="125"/>
      <c r="ABH3" s="125"/>
      <c r="ABI3" s="125"/>
      <c r="ABJ3" s="125"/>
      <c r="ABK3" s="125"/>
      <c r="ABL3" s="125"/>
      <c r="ABM3" s="125"/>
      <c r="ABN3" s="125"/>
      <c r="ABO3" s="125"/>
      <c r="ABP3" s="125"/>
      <c r="ABQ3" s="125"/>
      <c r="ABR3" s="125"/>
      <c r="ABS3" s="125"/>
      <c r="ABT3" s="125"/>
      <c r="ABU3" s="125"/>
      <c r="ABV3" s="125"/>
      <c r="ABW3" s="125"/>
      <c r="ABX3" s="125"/>
      <c r="ABY3" s="125"/>
      <c r="ABZ3" s="125"/>
      <c r="ACA3" s="125"/>
      <c r="ACB3" s="125"/>
      <c r="ACC3" s="125"/>
      <c r="ACD3" s="125"/>
      <c r="ACE3" s="125"/>
      <c r="ACF3" s="125"/>
      <c r="ACG3" s="125"/>
      <c r="ACH3" s="125"/>
      <c r="ACI3" s="125"/>
      <c r="ACJ3" s="125"/>
      <c r="ACK3" s="125"/>
      <c r="ACL3" s="125"/>
      <c r="ACM3" s="125"/>
      <c r="ACN3" s="125"/>
      <c r="ACO3" s="125"/>
      <c r="ACP3" s="125"/>
      <c r="ACQ3" s="125"/>
      <c r="ACR3" s="125"/>
      <c r="ACS3" s="125"/>
      <c r="ACT3" s="125"/>
      <c r="ACU3" s="125"/>
      <c r="ACV3" s="125"/>
      <c r="ACW3" s="125"/>
      <c r="ACX3" s="125"/>
      <c r="ACY3" s="125"/>
      <c r="ACZ3" s="125"/>
      <c r="ADA3" s="125"/>
      <c r="ADB3" s="125"/>
      <c r="ADC3" s="125"/>
      <c r="ADD3" s="125"/>
      <c r="ADE3" s="125"/>
      <c r="ADF3" s="125"/>
      <c r="ADG3" s="125"/>
      <c r="ADH3" s="125"/>
      <c r="ADI3" s="125"/>
      <c r="ADJ3" s="125"/>
      <c r="ADK3" s="125"/>
      <c r="ADL3" s="125"/>
      <c r="ADM3" s="125"/>
      <c r="ADN3" s="125"/>
      <c r="ADO3" s="125"/>
      <c r="ADP3" s="125"/>
      <c r="ADQ3" s="125"/>
      <c r="ADR3" s="125"/>
      <c r="ADS3" s="125"/>
      <c r="ADT3" s="125"/>
      <c r="ADU3" s="125"/>
      <c r="ADV3" s="125"/>
      <c r="ADW3" s="125"/>
      <c r="ADX3" s="125"/>
      <c r="ADY3" s="125"/>
      <c r="ADZ3" s="125"/>
      <c r="AEA3" s="125"/>
      <c r="AEB3" s="125"/>
      <c r="AEC3" s="125"/>
      <c r="AED3" s="125"/>
      <c r="AEE3" s="125"/>
      <c r="AEF3" s="125"/>
      <c r="AEG3" s="125"/>
      <c r="AEH3" s="125"/>
      <c r="AEI3" s="125"/>
      <c r="AEJ3" s="125"/>
      <c r="AEK3" s="125"/>
      <c r="AEL3" s="125"/>
      <c r="AEM3" s="125"/>
      <c r="AEN3" s="125"/>
      <c r="AEO3" s="125"/>
      <c r="AEP3" s="125"/>
      <c r="AEQ3" s="125"/>
      <c r="AER3" s="125"/>
      <c r="AES3" s="125"/>
      <c r="AET3" s="125"/>
      <c r="AEU3" s="125"/>
      <c r="AEV3" s="125"/>
      <c r="AEW3" s="125"/>
      <c r="AEX3" s="125"/>
      <c r="AEY3" s="125"/>
      <c r="AEZ3" s="125"/>
      <c r="AFA3" s="125"/>
      <c r="AFB3" s="125"/>
      <c r="AFC3" s="125"/>
      <c r="AFD3" s="125"/>
      <c r="AFE3" s="125"/>
      <c r="AFF3" s="125"/>
      <c r="AFG3" s="125"/>
      <c r="AFH3" s="125"/>
      <c r="AFI3" s="125"/>
      <c r="AFJ3" s="125"/>
      <c r="AFK3" s="125"/>
      <c r="AFL3" s="125"/>
      <c r="AFM3" s="125"/>
      <c r="AFN3" s="125"/>
      <c r="AFO3" s="125"/>
      <c r="AFP3" s="125"/>
      <c r="AFQ3" s="125"/>
      <c r="AFR3" s="125"/>
      <c r="AFS3" s="125"/>
      <c r="AFT3" s="125"/>
      <c r="AFU3" s="125"/>
      <c r="AFV3" s="125"/>
      <c r="AFW3" s="125"/>
      <c r="AFX3" s="125"/>
      <c r="AFY3" s="125"/>
      <c r="AFZ3" s="125"/>
      <c r="AGA3" s="125"/>
      <c r="AGB3" s="125"/>
      <c r="AGC3" s="125"/>
      <c r="AGD3" s="125"/>
      <c r="AGE3" s="125"/>
      <c r="AGF3" s="125"/>
      <c r="AGG3" s="125"/>
      <c r="AGH3" s="125"/>
      <c r="AGI3" s="125"/>
      <c r="AGJ3" s="125"/>
      <c r="AGK3" s="125"/>
      <c r="AGL3" s="125"/>
      <c r="AGM3" s="125"/>
      <c r="AGN3" s="125"/>
      <c r="AGO3" s="125"/>
      <c r="AGP3" s="125"/>
      <c r="AGQ3" s="125"/>
      <c r="AGR3" s="125"/>
      <c r="AGS3" s="125"/>
      <c r="AGT3" s="125"/>
      <c r="AGU3" s="125"/>
      <c r="AGV3" s="125"/>
      <c r="AGW3" s="125"/>
      <c r="AGX3" s="125"/>
      <c r="AGY3" s="125"/>
      <c r="AGZ3" s="125"/>
      <c r="AHA3" s="125"/>
      <c r="AHB3" s="125"/>
      <c r="AHC3" s="125"/>
      <c r="AHD3" s="125"/>
      <c r="AHE3" s="125"/>
      <c r="AHF3" s="125"/>
      <c r="AHG3" s="125"/>
      <c r="AHH3" s="125"/>
      <c r="AHI3" s="125"/>
      <c r="AHJ3" s="125"/>
      <c r="AHK3" s="125"/>
      <c r="AHL3" s="125"/>
      <c r="AHM3" s="125"/>
      <c r="AHN3" s="125"/>
      <c r="AHO3" s="125"/>
      <c r="AHP3" s="125"/>
      <c r="AHQ3" s="125"/>
      <c r="AHR3" s="125"/>
      <c r="AHS3" s="125"/>
      <c r="AHT3" s="125"/>
      <c r="AHU3" s="125"/>
      <c r="AHV3" s="125"/>
      <c r="AHW3" s="125"/>
      <c r="AHX3" s="125"/>
      <c r="AHY3" s="125"/>
      <c r="AHZ3" s="125"/>
      <c r="AIA3" s="125"/>
      <c r="AIB3" s="125"/>
      <c r="AIC3" s="125"/>
      <c r="AID3" s="125"/>
      <c r="AIE3" s="125"/>
      <c r="AIF3" s="125"/>
      <c r="AIG3" s="125"/>
      <c r="AIH3" s="125"/>
      <c r="AII3" s="125"/>
      <c r="AIJ3" s="125"/>
      <c r="AIK3" s="125"/>
      <c r="AIL3" s="125"/>
      <c r="AIM3" s="125"/>
      <c r="AIN3" s="125"/>
      <c r="AIO3" s="125"/>
      <c r="AIP3" s="125"/>
      <c r="AIQ3" s="125"/>
      <c r="AIR3" s="125"/>
      <c r="AIS3" s="125"/>
      <c r="AIT3" s="125"/>
      <c r="AIU3" s="125"/>
      <c r="AIV3" s="125"/>
      <c r="AIW3" s="125"/>
      <c r="AIX3" s="125"/>
      <c r="AIY3" s="125"/>
      <c r="AIZ3" s="125"/>
      <c r="AJA3" s="125"/>
      <c r="AJB3" s="125"/>
      <c r="AJC3" s="125"/>
      <c r="AJD3" s="125"/>
      <c r="AJE3" s="125"/>
      <c r="AJF3" s="125"/>
      <c r="AJG3" s="125"/>
      <c r="AJH3" s="125"/>
      <c r="AJI3" s="125"/>
      <c r="AJJ3" s="125"/>
      <c r="AJK3" s="125"/>
      <c r="AJL3" s="125"/>
      <c r="AJM3" s="125"/>
      <c r="AJN3" s="125"/>
      <c r="AJO3" s="125"/>
      <c r="AJP3" s="125"/>
      <c r="AJQ3" s="125"/>
      <c r="AJR3" s="125"/>
      <c r="AJS3" s="125"/>
      <c r="AJT3" s="125"/>
      <c r="AJU3" s="125"/>
      <c r="AJV3" s="125"/>
      <c r="AJW3" s="125"/>
      <c r="AJX3" s="125"/>
      <c r="AJY3" s="125"/>
      <c r="AJZ3" s="125"/>
      <c r="AKA3" s="125"/>
      <c r="AKB3" s="125"/>
      <c r="AKC3" s="125"/>
      <c r="AKD3" s="125"/>
      <c r="AKE3" s="125"/>
      <c r="AKF3" s="125"/>
      <c r="AKG3" s="125"/>
      <c r="AKH3" s="125"/>
      <c r="AKI3" s="125"/>
      <c r="AKJ3" s="125"/>
      <c r="AKK3" s="125"/>
      <c r="AKL3" s="125"/>
      <c r="AKM3" s="125"/>
      <c r="AKN3" s="125"/>
      <c r="AKO3" s="125"/>
      <c r="AKP3" s="125"/>
      <c r="AKQ3" s="125"/>
      <c r="AKR3" s="125"/>
      <c r="AKS3" s="125"/>
      <c r="AKT3" s="125"/>
      <c r="AKU3" s="125"/>
      <c r="AKV3" s="125"/>
      <c r="AKW3" s="125"/>
      <c r="AKX3" s="125"/>
      <c r="AKY3" s="125"/>
      <c r="AKZ3" s="125"/>
      <c r="ALA3" s="125"/>
      <c r="ALB3" s="125"/>
      <c r="ALC3" s="125"/>
      <c r="ALD3" s="125"/>
      <c r="ALE3" s="125"/>
      <c r="ALF3" s="125"/>
      <c r="ALG3" s="125"/>
      <c r="ALH3" s="125"/>
      <c r="ALI3" s="125"/>
      <c r="ALJ3" s="125"/>
      <c r="ALK3" s="125"/>
      <c r="ALL3" s="125"/>
      <c r="ALM3" s="125"/>
      <c r="ALN3" s="125"/>
      <c r="ALO3" s="125"/>
      <c r="ALP3" s="125"/>
      <c r="ALQ3" s="125"/>
      <c r="ALR3" s="125"/>
      <c r="ALS3" s="125"/>
      <c r="ALT3" s="125"/>
      <c r="ALU3" s="125"/>
      <c r="ALV3" s="125"/>
      <c r="ALW3" s="125"/>
      <c r="ALX3" s="125"/>
      <c r="ALY3" s="125"/>
      <c r="ALZ3" s="125"/>
      <c r="AMA3" s="125"/>
      <c r="AMB3" s="125"/>
      <c r="AMC3" s="125"/>
      <c r="AMD3" s="125"/>
      <c r="AME3" s="125"/>
      <c r="AMF3" s="125"/>
      <c r="AMG3" s="125"/>
      <c r="AMH3" s="125"/>
      <c r="AMI3" s="125"/>
      <c r="AMJ3" s="125"/>
      <c r="AMK3" s="125"/>
      <c r="AML3" s="125"/>
      <c r="AMM3" s="125"/>
      <c r="AMN3" s="125"/>
      <c r="AMO3" s="125"/>
      <c r="AMP3" s="125"/>
      <c r="AMQ3" s="125"/>
      <c r="AMR3" s="125"/>
      <c r="AMS3" s="125"/>
      <c r="AMT3" s="125"/>
      <c r="AMU3" s="125"/>
      <c r="AMV3" s="125"/>
      <c r="AMW3" s="125"/>
      <c r="AMX3" s="125"/>
      <c r="AMY3" s="125"/>
      <c r="AMZ3" s="125"/>
      <c r="ANA3" s="125"/>
      <c r="ANB3" s="125"/>
      <c r="ANC3" s="125"/>
      <c r="AND3" s="125"/>
      <c r="ANE3" s="125"/>
      <c r="ANF3" s="125"/>
      <c r="ANG3" s="125"/>
      <c r="ANH3" s="125"/>
      <c r="ANI3" s="125"/>
      <c r="ANJ3" s="125"/>
      <c r="ANK3" s="125"/>
      <c r="ANL3" s="125"/>
      <c r="ANM3" s="125"/>
      <c r="ANN3" s="125"/>
      <c r="ANO3" s="125"/>
      <c r="ANP3" s="125"/>
      <c r="ANQ3" s="125"/>
      <c r="ANR3" s="125"/>
      <c r="ANS3" s="125"/>
      <c r="ANT3" s="125"/>
      <c r="ANU3" s="125"/>
      <c r="ANV3" s="125"/>
      <c r="ANW3" s="125"/>
      <c r="ANX3" s="125"/>
      <c r="ANY3" s="125"/>
      <c r="ANZ3" s="125"/>
      <c r="AOA3" s="125"/>
      <c r="AOB3" s="125"/>
      <c r="AOC3" s="125"/>
      <c r="AOD3" s="125"/>
      <c r="AOE3" s="125"/>
      <c r="AOF3" s="125"/>
      <c r="AOG3" s="125"/>
      <c r="AOH3" s="125"/>
      <c r="AOI3" s="125"/>
      <c r="AOJ3" s="125"/>
      <c r="AOK3" s="125"/>
      <c r="AOL3" s="125"/>
      <c r="AOM3" s="125"/>
      <c r="AON3" s="125"/>
      <c r="AOO3" s="125"/>
      <c r="AOP3" s="125"/>
      <c r="AOQ3" s="125"/>
      <c r="AOR3" s="125"/>
      <c r="AOS3" s="125"/>
      <c r="AOT3" s="125"/>
      <c r="AOU3" s="125"/>
      <c r="AOV3" s="125"/>
      <c r="AOW3" s="125"/>
      <c r="AOX3" s="125"/>
      <c r="AOY3" s="125"/>
      <c r="AOZ3" s="125"/>
      <c r="APA3" s="125"/>
      <c r="APB3" s="125"/>
      <c r="APC3" s="125"/>
      <c r="APD3" s="125"/>
      <c r="APE3" s="125"/>
      <c r="APF3" s="125"/>
      <c r="APG3" s="125"/>
      <c r="APH3" s="125"/>
      <c r="API3" s="125"/>
      <c r="APJ3" s="125"/>
      <c r="APK3" s="125"/>
      <c r="APL3" s="125"/>
      <c r="APM3" s="125"/>
      <c r="APN3" s="125"/>
      <c r="APO3" s="125"/>
      <c r="APP3" s="125"/>
      <c r="APQ3" s="125"/>
      <c r="APR3" s="125"/>
      <c r="APS3" s="125"/>
      <c r="APT3" s="125"/>
      <c r="APU3" s="125"/>
      <c r="APV3" s="125"/>
      <c r="APW3" s="125"/>
      <c r="APX3" s="125"/>
      <c r="APY3" s="125"/>
      <c r="APZ3" s="125"/>
      <c r="AQA3" s="125"/>
      <c r="AQB3" s="125"/>
      <c r="AQC3" s="125"/>
      <c r="AQD3" s="125"/>
      <c r="AQE3" s="125"/>
      <c r="AQF3" s="125"/>
      <c r="AQG3" s="125"/>
      <c r="AQH3" s="125"/>
      <c r="AQI3" s="125"/>
      <c r="AQJ3" s="125"/>
      <c r="AQK3" s="125"/>
      <c r="AQL3" s="125"/>
      <c r="AQM3" s="125"/>
      <c r="AQN3" s="125"/>
      <c r="AQO3" s="125"/>
      <c r="AQP3" s="125"/>
      <c r="AQQ3" s="125"/>
      <c r="AQR3" s="125"/>
      <c r="AQS3" s="125"/>
      <c r="AQT3" s="125"/>
      <c r="AQU3" s="125"/>
      <c r="AQV3" s="125"/>
      <c r="AQW3" s="125"/>
      <c r="AQX3" s="125"/>
      <c r="AQY3" s="125"/>
      <c r="AQZ3" s="125"/>
      <c r="ARA3" s="125"/>
      <c r="ARB3" s="125"/>
      <c r="ARC3" s="125"/>
      <c r="ARD3" s="125"/>
      <c r="ARE3" s="125"/>
      <c r="ARF3" s="125"/>
      <c r="ARG3" s="125"/>
      <c r="ARH3" s="125"/>
      <c r="ARI3" s="125"/>
      <c r="ARJ3" s="125"/>
      <c r="ARK3" s="125"/>
      <c r="ARL3" s="125"/>
      <c r="ARM3" s="125"/>
      <c r="ARN3" s="125"/>
      <c r="ARO3" s="125"/>
      <c r="ARP3" s="125"/>
      <c r="ARQ3" s="125"/>
      <c r="ARR3" s="125"/>
      <c r="ARS3" s="125"/>
      <c r="ART3" s="125"/>
      <c r="ARU3" s="125"/>
      <c r="ARV3" s="125"/>
      <c r="ARW3" s="125"/>
      <c r="ARX3" s="125"/>
      <c r="ARY3" s="125"/>
      <c r="ARZ3" s="125"/>
      <c r="ASA3" s="125"/>
      <c r="ASB3" s="125"/>
      <c r="ASC3" s="125"/>
      <c r="ASD3" s="125"/>
      <c r="ASE3" s="125"/>
      <c r="ASF3" s="125"/>
      <c r="ASG3" s="125"/>
      <c r="ASH3" s="125"/>
      <c r="ASI3" s="125"/>
      <c r="ASJ3" s="125"/>
      <c r="ASK3" s="125"/>
      <c r="ASL3" s="125"/>
      <c r="ASM3" s="125"/>
      <c r="ASN3" s="125"/>
      <c r="ASO3" s="125"/>
      <c r="ASP3" s="125"/>
      <c r="ASQ3" s="125"/>
      <c r="ASR3" s="125"/>
      <c r="ASS3" s="125"/>
      <c r="AST3" s="125"/>
      <c r="ASU3" s="125"/>
      <c r="ASV3" s="125"/>
      <c r="ASW3" s="125"/>
      <c r="ASX3" s="125"/>
      <c r="ASY3" s="125"/>
      <c r="ASZ3" s="125"/>
      <c r="ATA3" s="125"/>
      <c r="ATB3" s="125"/>
      <c r="ATC3" s="125"/>
      <c r="ATD3" s="125"/>
      <c r="ATE3" s="125"/>
      <c r="ATF3" s="125"/>
      <c r="ATG3" s="125"/>
      <c r="ATH3" s="125"/>
      <c r="ATI3" s="125"/>
      <c r="ATJ3" s="125"/>
      <c r="ATK3" s="125"/>
      <c r="ATL3" s="125"/>
      <c r="ATM3" s="125"/>
      <c r="ATN3" s="125"/>
      <c r="ATO3" s="125"/>
      <c r="ATP3" s="125"/>
      <c r="ATQ3" s="125"/>
      <c r="ATR3" s="125"/>
      <c r="ATS3" s="125"/>
      <c r="ATT3" s="125"/>
      <c r="ATU3" s="125"/>
      <c r="ATV3" s="125"/>
      <c r="ATW3" s="125"/>
      <c r="ATX3" s="125"/>
      <c r="ATY3" s="125"/>
      <c r="ATZ3" s="125"/>
      <c r="AUA3" s="125"/>
      <c r="AUB3" s="125"/>
      <c r="AUC3" s="125"/>
      <c r="AUD3" s="125"/>
      <c r="AUE3" s="125"/>
      <c r="AUF3" s="125"/>
      <c r="AUG3" s="125"/>
      <c r="AUH3" s="125"/>
      <c r="AUI3" s="125"/>
      <c r="AUJ3" s="125"/>
      <c r="AUK3" s="125"/>
      <c r="AUL3" s="125"/>
      <c r="AUM3" s="125"/>
      <c r="AUN3" s="125"/>
      <c r="AUO3" s="125"/>
      <c r="AUP3" s="125"/>
      <c r="AUQ3" s="125"/>
      <c r="AUR3" s="125"/>
      <c r="AUS3" s="125"/>
      <c r="AUT3" s="125"/>
      <c r="AUU3" s="125"/>
      <c r="AUV3" s="125"/>
      <c r="AUW3" s="125"/>
      <c r="AUX3" s="125"/>
      <c r="AUY3" s="125"/>
      <c r="AUZ3" s="125"/>
      <c r="AVA3" s="125"/>
      <c r="AVB3" s="125"/>
      <c r="AVC3" s="125"/>
      <c r="AVD3" s="125"/>
      <c r="AVE3" s="125"/>
      <c r="AVF3" s="125"/>
      <c r="AVG3" s="125"/>
      <c r="AVH3" s="125"/>
      <c r="AVI3" s="125"/>
      <c r="AVJ3" s="125"/>
      <c r="AVK3" s="125"/>
      <c r="AVL3" s="125"/>
      <c r="AVM3" s="125"/>
      <c r="AVN3" s="125"/>
      <c r="AVO3" s="125"/>
      <c r="AVP3" s="125"/>
      <c r="AVQ3" s="125"/>
      <c r="AVR3" s="125"/>
      <c r="AVS3" s="125"/>
      <c r="AVT3" s="125"/>
      <c r="AVU3" s="125"/>
      <c r="AVV3" s="125"/>
      <c r="AVW3" s="125"/>
      <c r="AVX3" s="125"/>
      <c r="AVY3" s="125"/>
      <c r="AVZ3" s="125"/>
      <c r="AWA3" s="125"/>
      <c r="AWB3" s="125"/>
      <c r="AWC3" s="125"/>
      <c r="AWD3" s="125"/>
      <c r="AWE3" s="125"/>
      <c r="AWF3" s="125"/>
      <c r="AWG3" s="125"/>
      <c r="AWH3" s="125"/>
      <c r="AWI3" s="125"/>
      <c r="AWJ3" s="125"/>
      <c r="AWK3" s="125"/>
      <c r="AWL3" s="125"/>
      <c r="AWM3" s="125"/>
      <c r="AWN3" s="125"/>
      <c r="AWO3" s="125"/>
      <c r="AWP3" s="125"/>
      <c r="AWQ3" s="125"/>
      <c r="AWR3" s="125"/>
      <c r="AWS3" s="125"/>
      <c r="AWT3" s="125"/>
      <c r="AWU3" s="125"/>
      <c r="AWV3" s="125"/>
      <c r="AWW3" s="125"/>
      <c r="AWX3" s="125"/>
      <c r="AWY3" s="125"/>
      <c r="AWZ3" s="125"/>
      <c r="AXA3" s="125"/>
      <c r="AXB3" s="125"/>
      <c r="AXC3" s="125"/>
      <c r="AXD3" s="125"/>
      <c r="AXE3" s="125"/>
      <c r="AXF3" s="125"/>
      <c r="AXG3" s="125"/>
      <c r="AXH3" s="125"/>
      <c r="AXI3" s="125"/>
      <c r="AXJ3" s="125"/>
      <c r="AXK3" s="125"/>
      <c r="AXL3" s="125"/>
      <c r="AXM3" s="125"/>
      <c r="AXN3" s="125"/>
      <c r="AXO3" s="125"/>
      <c r="AXP3" s="125"/>
      <c r="AXQ3" s="125"/>
      <c r="AXR3" s="125"/>
      <c r="AXS3" s="125"/>
      <c r="AXT3" s="125"/>
      <c r="AXU3" s="125"/>
      <c r="AXV3" s="125"/>
      <c r="AXW3" s="125"/>
      <c r="AXX3" s="125"/>
      <c r="AXY3" s="125"/>
      <c r="AXZ3" s="125"/>
      <c r="AYA3" s="125"/>
      <c r="AYB3" s="125"/>
      <c r="AYC3" s="125"/>
      <c r="AYD3" s="125"/>
      <c r="AYE3" s="125"/>
      <c r="AYF3" s="125"/>
      <c r="AYG3" s="125"/>
      <c r="AYH3" s="125"/>
      <c r="AYI3" s="125"/>
      <c r="AYJ3" s="125"/>
      <c r="AYK3" s="125"/>
      <c r="AYL3" s="125"/>
      <c r="AYM3" s="125"/>
      <c r="AYN3" s="125"/>
      <c r="AYO3" s="125"/>
      <c r="AYP3" s="125"/>
      <c r="AYQ3" s="125"/>
      <c r="AYR3" s="125"/>
      <c r="AYS3" s="125"/>
      <c r="AYT3" s="125"/>
      <c r="AYU3" s="125"/>
      <c r="AYV3" s="125"/>
      <c r="AYW3" s="125"/>
      <c r="AYX3" s="125"/>
      <c r="AYY3" s="125"/>
      <c r="AYZ3" s="125"/>
      <c r="AZA3" s="125"/>
      <c r="AZB3" s="125"/>
      <c r="AZC3" s="125"/>
      <c r="AZD3" s="125"/>
      <c r="AZE3" s="125"/>
      <c r="AZF3" s="125"/>
      <c r="AZG3" s="125"/>
      <c r="AZH3" s="125"/>
      <c r="AZI3" s="125"/>
      <c r="AZJ3" s="125"/>
      <c r="AZK3" s="125"/>
      <c r="AZL3" s="125"/>
      <c r="AZM3" s="125"/>
      <c r="AZN3" s="125"/>
      <c r="AZO3" s="125"/>
      <c r="AZP3" s="125"/>
      <c r="AZQ3" s="125"/>
      <c r="AZR3" s="125"/>
      <c r="AZS3" s="125"/>
      <c r="AZT3" s="125"/>
      <c r="AZU3" s="125"/>
      <c r="AZV3" s="125"/>
      <c r="AZW3" s="125"/>
      <c r="AZX3" s="125"/>
      <c r="AZY3" s="125"/>
      <c r="AZZ3" s="125"/>
      <c r="BAA3" s="125"/>
      <c r="BAB3" s="125"/>
      <c r="BAC3" s="125"/>
      <c r="BAD3" s="125"/>
      <c r="BAE3" s="125"/>
      <c r="BAF3" s="125"/>
      <c r="BAG3" s="125"/>
      <c r="BAH3" s="125"/>
      <c r="BAI3" s="125"/>
      <c r="BAJ3" s="125"/>
      <c r="BAK3" s="125"/>
      <c r="BAL3" s="125"/>
      <c r="BAM3" s="125"/>
      <c r="BAN3" s="125"/>
      <c r="BAO3" s="125"/>
      <c r="BAP3" s="125"/>
      <c r="BAQ3" s="125"/>
      <c r="BAR3" s="125"/>
      <c r="BAS3" s="125"/>
      <c r="BAT3" s="125"/>
      <c r="BAU3" s="125"/>
      <c r="BAV3" s="125"/>
      <c r="BAW3" s="125"/>
      <c r="BAX3" s="125"/>
      <c r="BAY3" s="125"/>
      <c r="BAZ3" s="125"/>
      <c r="BBA3" s="125"/>
      <c r="BBB3" s="125"/>
      <c r="BBC3" s="125"/>
      <c r="BBD3" s="125"/>
      <c r="BBE3" s="125"/>
      <c r="BBF3" s="125"/>
      <c r="BBG3" s="125"/>
      <c r="BBH3" s="125"/>
      <c r="BBI3" s="125"/>
      <c r="BBJ3" s="125"/>
      <c r="BBK3" s="125"/>
      <c r="BBL3" s="125"/>
      <c r="BBM3" s="125"/>
      <c r="BBN3" s="125"/>
      <c r="BBO3" s="125"/>
      <c r="BBP3" s="125"/>
      <c r="BBQ3" s="125"/>
      <c r="BBR3" s="125"/>
      <c r="BBS3" s="125"/>
      <c r="BBT3" s="125"/>
      <c r="BBU3" s="125"/>
      <c r="BBV3" s="125"/>
      <c r="BBW3" s="125"/>
      <c r="BBX3" s="125"/>
      <c r="BBY3" s="125"/>
      <c r="BBZ3" s="125"/>
      <c r="BCA3" s="125"/>
      <c r="BCB3" s="125"/>
      <c r="BCC3" s="125"/>
      <c r="BCD3" s="125"/>
      <c r="BCE3" s="125"/>
      <c r="BCF3" s="125"/>
      <c r="BCG3" s="125"/>
      <c r="BCH3" s="125"/>
      <c r="BCI3" s="125"/>
      <c r="BCJ3" s="125"/>
      <c r="BCK3" s="125"/>
      <c r="BCL3" s="125"/>
      <c r="BCM3" s="125"/>
      <c r="BCN3" s="125"/>
      <c r="BCO3" s="125"/>
      <c r="BCP3" s="125"/>
      <c r="BCQ3" s="125"/>
      <c r="BCR3" s="125"/>
      <c r="BCS3" s="125"/>
      <c r="BCT3" s="125"/>
      <c r="BCU3" s="125"/>
      <c r="BCV3" s="125"/>
      <c r="BCW3" s="125"/>
      <c r="BCX3" s="125"/>
      <c r="BCY3" s="125"/>
      <c r="BCZ3" s="125"/>
      <c r="BDA3" s="125"/>
      <c r="BDB3" s="125"/>
      <c r="BDC3" s="125"/>
      <c r="BDD3" s="125"/>
      <c r="BDE3" s="125"/>
      <c r="BDF3" s="125"/>
      <c r="BDG3" s="125"/>
      <c r="BDH3" s="125"/>
      <c r="BDI3" s="125"/>
      <c r="BDJ3" s="125"/>
      <c r="BDK3" s="125"/>
      <c r="BDL3" s="125"/>
      <c r="BDM3" s="125"/>
      <c r="BDN3" s="125"/>
      <c r="BDO3" s="125"/>
      <c r="BDP3" s="125"/>
      <c r="BDQ3" s="125"/>
      <c r="BDR3" s="125"/>
      <c r="BDS3" s="125"/>
      <c r="BDT3" s="125"/>
      <c r="BDU3" s="125"/>
      <c r="BDV3" s="125"/>
      <c r="BDW3" s="125"/>
      <c r="BDX3" s="125"/>
      <c r="BDY3" s="125"/>
      <c r="BDZ3" s="125"/>
      <c r="BEA3" s="125"/>
      <c r="BEB3" s="125"/>
      <c r="BEC3" s="125"/>
      <c r="BED3" s="125"/>
      <c r="BEE3" s="125"/>
      <c r="BEF3" s="125"/>
      <c r="BEG3" s="125"/>
      <c r="BEH3" s="125"/>
      <c r="BEI3" s="125"/>
      <c r="BEJ3" s="125"/>
      <c r="BEK3" s="125"/>
      <c r="BEL3" s="125"/>
      <c r="BEM3" s="125"/>
      <c r="BEN3" s="125"/>
      <c r="BEO3" s="125"/>
      <c r="BEP3" s="125"/>
      <c r="BEQ3" s="125"/>
      <c r="BER3" s="125"/>
      <c r="BES3" s="125"/>
      <c r="BET3" s="125"/>
      <c r="BEU3" s="125"/>
      <c r="BEV3" s="125"/>
      <c r="BEW3" s="125"/>
      <c r="BEX3" s="125"/>
      <c r="BEY3" s="125"/>
      <c r="BEZ3" s="125"/>
      <c r="BFA3" s="125"/>
      <c r="BFB3" s="125"/>
      <c r="BFC3" s="125"/>
      <c r="BFD3" s="125"/>
      <c r="BFE3" s="125"/>
      <c r="BFF3" s="125"/>
      <c r="BFG3" s="125"/>
      <c r="BFH3" s="125"/>
      <c r="BFI3" s="125"/>
      <c r="BFJ3" s="125"/>
      <c r="BFK3" s="125"/>
      <c r="BFL3" s="125"/>
      <c r="BFM3" s="125"/>
      <c r="BFN3" s="125"/>
      <c r="BFO3" s="125"/>
      <c r="BFP3" s="125"/>
      <c r="BFQ3" s="125"/>
      <c r="BFR3" s="125"/>
      <c r="BFS3" s="125"/>
      <c r="BFT3" s="125"/>
      <c r="BFU3" s="125"/>
      <c r="BFV3" s="125"/>
      <c r="BFW3" s="125"/>
      <c r="BFX3" s="125"/>
      <c r="BFY3" s="125"/>
      <c r="BFZ3" s="125"/>
      <c r="BGA3" s="125"/>
      <c r="BGB3" s="125"/>
      <c r="BGC3" s="125"/>
      <c r="BGD3" s="125"/>
      <c r="BGE3" s="125"/>
      <c r="BGF3" s="125"/>
      <c r="BGG3" s="125"/>
      <c r="BGH3" s="125"/>
      <c r="BGI3" s="125"/>
      <c r="BGJ3" s="125"/>
      <c r="BGK3" s="125"/>
      <c r="BGL3" s="125"/>
      <c r="BGM3" s="125"/>
      <c r="BGN3" s="125"/>
      <c r="BGO3" s="125"/>
      <c r="BGP3" s="125"/>
      <c r="BGQ3" s="125"/>
      <c r="BGR3" s="125"/>
      <c r="BGS3" s="125"/>
      <c r="BGT3" s="125"/>
      <c r="BGU3" s="125"/>
      <c r="BGV3" s="125"/>
      <c r="BGW3" s="125"/>
      <c r="BGX3" s="125"/>
      <c r="BGY3" s="125"/>
      <c r="BGZ3" s="125"/>
      <c r="BHA3" s="125"/>
      <c r="BHB3" s="125"/>
      <c r="BHC3" s="125"/>
      <c r="BHD3" s="125"/>
      <c r="BHE3" s="125"/>
      <c r="BHF3" s="125"/>
      <c r="BHG3" s="125"/>
      <c r="BHH3" s="125"/>
      <c r="BHI3" s="125"/>
      <c r="BHJ3" s="125"/>
      <c r="BHK3" s="125"/>
      <c r="BHL3" s="125"/>
      <c r="BHM3" s="125"/>
      <c r="BHN3" s="125"/>
      <c r="BHO3" s="125"/>
      <c r="BHP3" s="125"/>
      <c r="BHQ3" s="125"/>
      <c r="BHR3" s="125"/>
      <c r="BHS3" s="125"/>
      <c r="BHT3" s="125"/>
      <c r="BHU3" s="125"/>
      <c r="BHV3" s="125"/>
      <c r="BHW3" s="125"/>
      <c r="BHX3" s="125"/>
      <c r="BHY3" s="125"/>
      <c r="BHZ3" s="125"/>
      <c r="BIA3" s="125"/>
      <c r="BIB3" s="125"/>
      <c r="BIC3" s="125"/>
      <c r="BID3" s="125"/>
      <c r="BIE3" s="125"/>
      <c r="BIF3" s="125"/>
      <c r="BIG3" s="125"/>
      <c r="BIH3" s="125"/>
      <c r="BII3" s="125"/>
      <c r="BIJ3" s="125"/>
      <c r="BIK3" s="125"/>
      <c r="BIL3" s="125"/>
      <c r="BIM3" s="125"/>
      <c r="BIN3" s="125"/>
      <c r="BIO3" s="125"/>
      <c r="BIP3" s="125"/>
      <c r="BIQ3" s="125"/>
      <c r="BIR3" s="125"/>
      <c r="BIS3" s="125"/>
      <c r="BIT3" s="125"/>
      <c r="BIU3" s="125"/>
      <c r="BIV3" s="125"/>
      <c r="BIW3" s="125"/>
      <c r="BIX3" s="125"/>
      <c r="BIY3" s="125"/>
      <c r="BIZ3" s="125"/>
      <c r="BJA3" s="125"/>
      <c r="BJB3" s="125"/>
      <c r="BJC3" s="125"/>
      <c r="BJD3" s="125"/>
      <c r="BJE3" s="125"/>
      <c r="BJF3" s="125"/>
      <c r="BJG3" s="125"/>
      <c r="BJH3" s="125"/>
      <c r="BJI3" s="125"/>
      <c r="BJJ3" s="125"/>
      <c r="BJK3" s="125"/>
      <c r="BJL3" s="125"/>
      <c r="BJM3" s="125"/>
      <c r="BJN3" s="125"/>
      <c r="BJO3" s="125"/>
      <c r="BJP3" s="125"/>
      <c r="BJQ3" s="125"/>
      <c r="BJR3" s="125"/>
      <c r="BJS3" s="125"/>
      <c r="BJT3" s="125"/>
      <c r="BJU3" s="125"/>
      <c r="BJV3" s="125"/>
      <c r="BJW3" s="125"/>
      <c r="BJX3" s="125"/>
      <c r="BJY3" s="125"/>
      <c r="BJZ3" s="125"/>
      <c r="BKA3" s="125"/>
      <c r="BKB3" s="125"/>
      <c r="BKC3" s="125"/>
      <c r="BKD3" s="125"/>
      <c r="BKE3" s="125"/>
      <c r="BKF3" s="125"/>
      <c r="BKG3" s="125"/>
      <c r="BKH3" s="125"/>
      <c r="BKI3" s="125"/>
      <c r="BKJ3" s="125"/>
      <c r="BKK3" s="125"/>
      <c r="BKL3" s="125"/>
      <c r="BKM3" s="125"/>
      <c r="BKN3" s="125"/>
      <c r="BKO3" s="125"/>
      <c r="BKP3" s="125"/>
      <c r="BKQ3" s="125"/>
      <c r="BKR3" s="125"/>
      <c r="BKS3" s="125"/>
      <c r="BKT3" s="125"/>
      <c r="BKU3" s="125"/>
      <c r="BKV3" s="125"/>
      <c r="BKW3" s="125"/>
      <c r="BKX3" s="125"/>
      <c r="BKY3" s="125"/>
      <c r="BKZ3" s="125"/>
      <c r="BLA3" s="125"/>
      <c r="BLB3" s="125"/>
      <c r="BLC3" s="125"/>
      <c r="BLD3" s="125"/>
      <c r="BLE3" s="125"/>
      <c r="BLF3" s="125"/>
      <c r="BLG3" s="125"/>
      <c r="BLH3" s="125"/>
      <c r="BLI3" s="125"/>
      <c r="BLJ3" s="125"/>
      <c r="BLK3" s="125"/>
      <c r="BLL3" s="125"/>
      <c r="BLM3" s="125"/>
      <c r="BLN3" s="125"/>
      <c r="BLO3" s="125"/>
      <c r="BLP3" s="125"/>
      <c r="BLQ3" s="125"/>
      <c r="BLR3" s="125"/>
      <c r="BLS3" s="125"/>
      <c r="BLT3" s="125"/>
      <c r="BLU3" s="125"/>
      <c r="BLV3" s="125"/>
      <c r="BLW3" s="125"/>
      <c r="BLX3" s="125"/>
      <c r="BLY3" s="125"/>
      <c r="BLZ3" s="125"/>
      <c r="BMA3" s="125"/>
      <c r="BMB3" s="125"/>
      <c r="BMC3" s="125"/>
      <c r="BMD3" s="125"/>
      <c r="BME3" s="125"/>
      <c r="BMF3" s="125"/>
      <c r="BMG3" s="125"/>
      <c r="BMH3" s="125"/>
      <c r="BMI3" s="125"/>
      <c r="BMJ3" s="125"/>
      <c r="BMK3" s="125"/>
      <c r="BML3" s="125"/>
      <c r="BMM3" s="125"/>
      <c r="BMN3" s="125"/>
      <c r="BMO3" s="125"/>
      <c r="BMP3" s="125"/>
      <c r="BMQ3" s="125"/>
      <c r="BMR3" s="125"/>
      <c r="BMS3" s="125"/>
      <c r="BMT3" s="125"/>
      <c r="BMU3" s="125"/>
      <c r="BMV3" s="125"/>
      <c r="BMW3" s="125"/>
      <c r="BMX3" s="125"/>
      <c r="BMY3" s="125"/>
      <c r="BMZ3" s="125"/>
      <c r="BNA3" s="125"/>
      <c r="BNB3" s="125"/>
      <c r="BNC3" s="125"/>
      <c r="BND3" s="125"/>
      <c r="BNE3" s="125"/>
      <c r="BNF3" s="125"/>
      <c r="BNG3" s="125"/>
      <c r="BNH3" s="125"/>
      <c r="BNI3" s="125"/>
      <c r="BNJ3" s="125"/>
      <c r="BNK3" s="125"/>
      <c r="BNL3" s="125"/>
      <c r="BNM3" s="125"/>
      <c r="BNN3" s="125"/>
      <c r="BNO3" s="125"/>
      <c r="BNP3" s="125"/>
      <c r="BNQ3" s="125"/>
      <c r="BNR3" s="125"/>
      <c r="BNS3" s="125"/>
      <c r="BNT3" s="125"/>
      <c r="BNU3" s="125"/>
      <c r="BNV3" s="125"/>
      <c r="BNW3" s="125"/>
      <c r="BNX3" s="125"/>
      <c r="BNY3" s="125"/>
      <c r="BNZ3" s="125"/>
      <c r="BOA3" s="125"/>
      <c r="BOB3" s="125"/>
      <c r="BOC3" s="125"/>
      <c r="BOD3" s="125"/>
      <c r="BOE3" s="125"/>
      <c r="BOF3" s="125"/>
      <c r="BOG3" s="125"/>
      <c r="BOH3" s="125"/>
      <c r="BOI3" s="125"/>
      <c r="BOJ3" s="125"/>
      <c r="BOK3" s="125"/>
      <c r="BOL3" s="125"/>
      <c r="BOM3" s="125"/>
      <c r="BON3" s="125"/>
      <c r="BOO3" s="125"/>
      <c r="BOP3" s="125"/>
      <c r="BOQ3" s="125"/>
      <c r="BOR3" s="125"/>
      <c r="BOS3" s="125"/>
      <c r="BOT3" s="125"/>
      <c r="BOU3" s="125"/>
      <c r="BOV3" s="125"/>
      <c r="BOW3" s="125"/>
      <c r="BOX3" s="125"/>
      <c r="BOY3" s="125"/>
      <c r="BOZ3" s="125"/>
      <c r="BPA3" s="125"/>
      <c r="BPB3" s="125"/>
      <c r="BPC3" s="125"/>
      <c r="BPD3" s="125"/>
      <c r="BPE3" s="125"/>
      <c r="BPF3" s="125"/>
      <c r="BPG3" s="125"/>
      <c r="BPH3" s="125"/>
      <c r="BPI3" s="125"/>
      <c r="BPJ3" s="125"/>
      <c r="BPK3" s="125"/>
      <c r="BPL3" s="125"/>
      <c r="BPM3" s="125"/>
      <c r="BPN3" s="125"/>
      <c r="BPO3" s="125"/>
      <c r="BPP3" s="125"/>
      <c r="BPQ3" s="125"/>
      <c r="BPR3" s="125"/>
      <c r="BPS3" s="125"/>
      <c r="BPT3" s="125"/>
      <c r="BPU3" s="125"/>
      <c r="BPV3" s="125"/>
      <c r="BPW3" s="125"/>
      <c r="BPX3" s="125"/>
      <c r="BPY3" s="125"/>
      <c r="BPZ3" s="125"/>
      <c r="BQA3" s="125"/>
      <c r="BQB3" s="125"/>
      <c r="BQC3" s="125"/>
      <c r="BQD3" s="125"/>
      <c r="BQE3" s="125"/>
      <c r="BQF3" s="125"/>
      <c r="BQG3" s="125"/>
      <c r="BQH3" s="125"/>
      <c r="BQI3" s="125"/>
      <c r="BQJ3" s="125"/>
      <c r="BQK3" s="125"/>
      <c r="BQL3" s="125"/>
      <c r="BQM3" s="125"/>
      <c r="BQN3" s="125"/>
      <c r="BQO3" s="125"/>
      <c r="BQP3" s="125"/>
      <c r="BQQ3" s="125"/>
      <c r="BQR3" s="125"/>
      <c r="BQS3" s="125"/>
      <c r="BQT3" s="125"/>
      <c r="BQU3" s="125"/>
      <c r="BQV3" s="125"/>
      <c r="BQW3" s="125"/>
      <c r="BQX3" s="125"/>
      <c r="BQY3" s="125"/>
      <c r="BQZ3" s="125"/>
      <c r="BRA3" s="125"/>
      <c r="BRB3" s="125"/>
      <c r="BRC3" s="125"/>
      <c r="BRD3" s="125"/>
      <c r="BRE3" s="125"/>
      <c r="BRF3" s="125"/>
      <c r="BRG3" s="125"/>
      <c r="BRH3" s="125"/>
      <c r="BRI3" s="125"/>
      <c r="BRJ3" s="125"/>
      <c r="BRK3" s="125"/>
      <c r="BRL3" s="125"/>
      <c r="BRM3" s="125"/>
      <c r="BRN3" s="125"/>
      <c r="BRO3" s="125"/>
      <c r="BRP3" s="125"/>
      <c r="BRQ3" s="125"/>
      <c r="BRR3" s="125"/>
      <c r="BRS3" s="125"/>
      <c r="BRT3" s="125"/>
      <c r="BRU3" s="125"/>
      <c r="BRV3" s="125"/>
      <c r="BRW3" s="125"/>
      <c r="BRX3" s="125"/>
      <c r="BRY3" s="125"/>
      <c r="BRZ3" s="125"/>
      <c r="BSA3" s="125"/>
      <c r="BSB3" s="125"/>
      <c r="BSC3" s="125"/>
      <c r="BSD3" s="125"/>
      <c r="BSE3" s="125"/>
      <c r="BSF3" s="125"/>
      <c r="BSG3" s="125"/>
      <c r="BSH3" s="125"/>
      <c r="BSI3" s="125"/>
      <c r="BSJ3" s="125"/>
      <c r="BSK3" s="125"/>
      <c r="BSL3" s="125"/>
      <c r="BSM3" s="125"/>
      <c r="BSN3" s="125"/>
      <c r="BSO3" s="125"/>
      <c r="BSP3" s="125"/>
      <c r="BSQ3" s="125"/>
      <c r="BSR3" s="125"/>
      <c r="BSS3" s="125"/>
      <c r="BST3" s="125"/>
      <c r="BSU3" s="125"/>
      <c r="BSV3" s="125"/>
      <c r="BSW3" s="125"/>
      <c r="BSX3" s="125"/>
      <c r="BSY3" s="125"/>
      <c r="BSZ3" s="125"/>
      <c r="BTA3" s="125"/>
      <c r="BTB3" s="125"/>
      <c r="BTC3" s="125"/>
      <c r="BTD3" s="125"/>
      <c r="BTE3" s="125"/>
      <c r="BTF3" s="125"/>
      <c r="BTG3" s="125"/>
      <c r="BTH3" s="125"/>
      <c r="BTI3" s="125"/>
      <c r="BTJ3" s="125"/>
      <c r="BTK3" s="125"/>
      <c r="BTL3" s="125"/>
      <c r="BTM3" s="125"/>
      <c r="BTN3" s="125"/>
      <c r="BTO3" s="125"/>
      <c r="BTP3" s="125"/>
      <c r="BTQ3" s="125"/>
      <c r="BTR3" s="125"/>
      <c r="BTS3" s="125"/>
      <c r="BTT3" s="125"/>
      <c r="BTU3" s="125"/>
      <c r="BTV3" s="125"/>
      <c r="BTW3" s="125"/>
      <c r="BTX3" s="125"/>
      <c r="BTY3" s="125"/>
      <c r="BTZ3" s="125"/>
      <c r="BUA3" s="125"/>
      <c r="BUB3" s="125"/>
      <c r="BUC3" s="125"/>
      <c r="BUD3" s="125"/>
      <c r="BUE3" s="125"/>
      <c r="BUF3" s="125"/>
      <c r="BUG3" s="125"/>
      <c r="BUH3" s="125"/>
      <c r="BUI3" s="125"/>
      <c r="BUJ3" s="125"/>
      <c r="BUK3" s="125"/>
      <c r="BUL3" s="125"/>
      <c r="BUM3" s="125"/>
      <c r="BUN3" s="125"/>
      <c r="BUO3" s="125"/>
      <c r="BUP3" s="125"/>
      <c r="BUQ3" s="125"/>
      <c r="BUR3" s="125"/>
      <c r="BUS3" s="125"/>
      <c r="BUT3" s="125"/>
      <c r="BUU3" s="125"/>
      <c r="BUV3" s="125"/>
      <c r="BUW3" s="125"/>
      <c r="BUX3" s="125"/>
      <c r="BUY3" s="125"/>
      <c r="BUZ3" s="125"/>
      <c r="BVA3" s="125"/>
      <c r="BVB3" s="125"/>
      <c r="BVC3" s="125"/>
      <c r="BVD3" s="125"/>
      <c r="BVE3" s="125"/>
      <c r="BVF3" s="125"/>
      <c r="BVG3" s="125"/>
      <c r="BVH3" s="125"/>
      <c r="BVI3" s="125"/>
      <c r="BVJ3" s="125"/>
      <c r="BVK3" s="125"/>
      <c r="BVL3" s="125"/>
      <c r="BVM3" s="125"/>
      <c r="BVN3" s="125"/>
      <c r="BVO3" s="125"/>
      <c r="BVP3" s="125"/>
      <c r="BVQ3" s="125"/>
      <c r="BVR3" s="125"/>
      <c r="BVS3" s="125"/>
      <c r="BVT3" s="125"/>
      <c r="BVU3" s="125"/>
      <c r="BVV3" s="125"/>
      <c r="BVW3" s="125"/>
      <c r="BVX3" s="125"/>
      <c r="BVY3" s="125"/>
      <c r="BVZ3" s="125"/>
      <c r="BWA3" s="125"/>
      <c r="BWB3" s="125"/>
      <c r="BWC3" s="125"/>
      <c r="BWD3" s="125"/>
      <c r="BWE3" s="125"/>
      <c r="BWF3" s="125"/>
      <c r="BWG3" s="125"/>
      <c r="BWH3" s="125"/>
      <c r="BWI3" s="125"/>
      <c r="BWJ3" s="125"/>
      <c r="BWK3" s="125"/>
      <c r="BWL3" s="125"/>
      <c r="BWM3" s="125"/>
      <c r="BWN3" s="125"/>
      <c r="BWO3" s="125"/>
      <c r="BWP3" s="125"/>
      <c r="BWQ3" s="125"/>
      <c r="BWR3" s="125"/>
      <c r="BWS3" s="125"/>
      <c r="BWT3" s="125"/>
      <c r="BWU3" s="125"/>
      <c r="BWV3" s="125"/>
      <c r="BWW3" s="125"/>
      <c r="BWX3" s="125"/>
      <c r="BWY3" s="125"/>
      <c r="BWZ3" s="125"/>
      <c r="BXA3" s="125"/>
      <c r="BXB3" s="125"/>
      <c r="BXC3" s="125"/>
      <c r="BXD3" s="125"/>
      <c r="BXE3" s="125"/>
      <c r="BXF3" s="125"/>
      <c r="BXG3" s="125"/>
      <c r="BXH3" s="125"/>
      <c r="BXI3" s="125"/>
      <c r="BXJ3" s="125"/>
      <c r="BXK3" s="125"/>
      <c r="BXL3" s="125"/>
      <c r="BXM3" s="125"/>
      <c r="BXN3" s="125"/>
      <c r="BXO3" s="125"/>
      <c r="BXP3" s="125"/>
      <c r="BXQ3" s="125"/>
      <c r="BXR3" s="125"/>
      <c r="BXS3" s="125"/>
      <c r="BXT3" s="125"/>
      <c r="BXU3" s="125"/>
      <c r="BXV3" s="125"/>
      <c r="BXW3" s="125"/>
      <c r="BXX3" s="125"/>
      <c r="BXY3" s="125"/>
      <c r="BXZ3" s="125"/>
      <c r="BYA3" s="125"/>
      <c r="BYB3" s="125"/>
      <c r="BYC3" s="125"/>
      <c r="BYD3" s="125"/>
      <c r="BYE3" s="125"/>
      <c r="BYF3" s="125"/>
      <c r="BYG3" s="125"/>
      <c r="BYH3" s="125"/>
      <c r="BYI3" s="125"/>
      <c r="BYJ3" s="125"/>
      <c r="BYK3" s="125"/>
      <c r="BYL3" s="125"/>
      <c r="BYM3" s="125"/>
      <c r="BYN3" s="125"/>
      <c r="BYO3" s="125"/>
      <c r="BYP3" s="125"/>
      <c r="BYQ3" s="125"/>
      <c r="BYR3" s="125"/>
      <c r="BYS3" s="125"/>
      <c r="BYT3" s="125"/>
      <c r="BYU3" s="125"/>
      <c r="BYV3" s="125"/>
      <c r="BYW3" s="125"/>
      <c r="BYX3" s="125"/>
      <c r="BYY3" s="125"/>
      <c r="BYZ3" s="125"/>
      <c r="BZA3" s="125"/>
      <c r="BZB3" s="125"/>
      <c r="BZC3" s="125"/>
      <c r="BZD3" s="125"/>
      <c r="BZE3" s="125"/>
      <c r="BZF3" s="125"/>
      <c r="BZG3" s="125"/>
      <c r="BZH3" s="125"/>
      <c r="BZI3" s="125"/>
      <c r="BZJ3" s="125"/>
      <c r="BZK3" s="125"/>
      <c r="BZL3" s="125"/>
      <c r="BZM3" s="125"/>
      <c r="BZN3" s="125"/>
      <c r="BZO3" s="125"/>
      <c r="BZP3" s="125"/>
      <c r="BZQ3" s="125"/>
      <c r="BZR3" s="125"/>
      <c r="BZS3" s="125"/>
      <c r="BZT3" s="125"/>
      <c r="BZU3" s="125"/>
      <c r="BZV3" s="125"/>
      <c r="BZW3" s="125"/>
      <c r="BZX3" s="125"/>
      <c r="BZY3" s="125"/>
      <c r="BZZ3" s="125"/>
      <c r="CAA3" s="125"/>
      <c r="CAB3" s="125"/>
      <c r="CAC3" s="125"/>
      <c r="CAD3" s="125"/>
      <c r="CAE3" s="125"/>
      <c r="CAF3" s="125"/>
      <c r="CAG3" s="125"/>
      <c r="CAH3" s="125"/>
      <c r="CAI3" s="125"/>
      <c r="CAJ3" s="125"/>
      <c r="CAK3" s="125"/>
      <c r="CAL3" s="125"/>
      <c r="CAM3" s="125"/>
      <c r="CAN3" s="125"/>
      <c r="CAO3" s="125"/>
      <c r="CAP3" s="125"/>
      <c r="CAQ3" s="125"/>
      <c r="CAR3" s="125"/>
      <c r="CAS3" s="125"/>
      <c r="CAT3" s="125"/>
      <c r="CAU3" s="125"/>
      <c r="CAV3" s="125"/>
      <c r="CAW3" s="125"/>
      <c r="CAX3" s="125"/>
      <c r="CAY3" s="125"/>
      <c r="CAZ3" s="125"/>
      <c r="CBA3" s="125"/>
      <c r="CBB3" s="125"/>
      <c r="CBC3" s="125"/>
      <c r="CBD3" s="125"/>
      <c r="CBE3" s="125"/>
      <c r="CBF3" s="125"/>
      <c r="CBG3" s="125"/>
      <c r="CBH3" s="125"/>
      <c r="CBI3" s="125"/>
      <c r="CBJ3" s="125"/>
      <c r="CBK3" s="125"/>
      <c r="CBL3" s="125"/>
      <c r="CBM3" s="125"/>
      <c r="CBN3" s="125"/>
      <c r="CBO3" s="125"/>
      <c r="CBP3" s="125"/>
      <c r="CBQ3" s="125"/>
      <c r="CBR3" s="125"/>
      <c r="CBS3" s="125"/>
      <c r="CBT3" s="125"/>
      <c r="CBU3" s="125"/>
      <c r="CBV3" s="125"/>
      <c r="CBW3" s="125"/>
      <c r="CBX3" s="125"/>
      <c r="CBY3" s="125"/>
      <c r="CBZ3" s="125"/>
      <c r="CCA3" s="125"/>
      <c r="CCB3" s="125"/>
      <c r="CCC3" s="125"/>
      <c r="CCD3" s="125"/>
      <c r="CCE3" s="125"/>
      <c r="CCF3" s="125"/>
      <c r="CCG3" s="125"/>
      <c r="CCH3" s="125"/>
      <c r="CCI3" s="125"/>
      <c r="CCJ3" s="125"/>
      <c r="CCK3" s="125"/>
      <c r="CCL3" s="125"/>
      <c r="CCM3" s="125"/>
      <c r="CCN3" s="125"/>
      <c r="CCO3" s="125"/>
      <c r="CCP3" s="125"/>
      <c r="CCQ3" s="125"/>
      <c r="CCR3" s="125"/>
      <c r="CCS3" s="125"/>
      <c r="CCT3" s="125"/>
      <c r="CCU3" s="125"/>
      <c r="CCV3" s="125"/>
      <c r="CCW3" s="125"/>
      <c r="CCX3" s="125"/>
      <c r="CCY3" s="125"/>
      <c r="CCZ3" s="125"/>
      <c r="CDA3" s="125"/>
      <c r="CDB3" s="125"/>
      <c r="CDC3" s="125"/>
      <c r="CDD3" s="125"/>
      <c r="CDE3" s="125"/>
      <c r="CDF3" s="125"/>
      <c r="CDG3" s="125"/>
      <c r="CDH3" s="125"/>
      <c r="CDI3" s="125"/>
      <c r="CDJ3" s="125"/>
      <c r="CDK3" s="125"/>
      <c r="CDL3" s="125"/>
      <c r="CDM3" s="125"/>
      <c r="CDN3" s="125"/>
      <c r="CDO3" s="125"/>
      <c r="CDP3" s="125"/>
      <c r="CDQ3" s="125"/>
      <c r="CDR3" s="125"/>
      <c r="CDS3" s="125"/>
      <c r="CDT3" s="125"/>
      <c r="CDU3" s="125"/>
      <c r="CDV3" s="125"/>
      <c r="CDW3" s="125"/>
      <c r="CDX3" s="125"/>
      <c r="CDY3" s="125"/>
      <c r="CDZ3" s="125"/>
      <c r="CEA3" s="125"/>
      <c r="CEB3" s="125"/>
      <c r="CEC3" s="125"/>
      <c r="CED3" s="125"/>
      <c r="CEE3" s="125"/>
      <c r="CEF3" s="125"/>
      <c r="CEG3" s="125"/>
      <c r="CEH3" s="125"/>
      <c r="CEI3" s="125"/>
      <c r="CEJ3" s="125"/>
      <c r="CEK3" s="125"/>
      <c r="CEL3" s="125"/>
      <c r="CEM3" s="125"/>
      <c r="CEN3" s="125"/>
      <c r="CEO3" s="125"/>
      <c r="CEP3" s="125"/>
      <c r="CEQ3" s="125"/>
      <c r="CER3" s="125"/>
      <c r="CES3" s="125"/>
      <c r="CET3" s="125"/>
      <c r="CEU3" s="125"/>
      <c r="CEV3" s="125"/>
      <c r="CEW3" s="125"/>
      <c r="CEX3" s="125"/>
      <c r="CEY3" s="125"/>
      <c r="CEZ3" s="125"/>
      <c r="CFA3" s="125"/>
      <c r="CFB3" s="125"/>
      <c r="CFC3" s="125"/>
      <c r="CFD3" s="125"/>
      <c r="CFE3" s="125"/>
      <c r="CFF3" s="125"/>
      <c r="CFG3" s="125"/>
      <c r="CFH3" s="125"/>
      <c r="CFI3" s="125"/>
      <c r="CFJ3" s="125"/>
      <c r="CFK3" s="125"/>
      <c r="CFL3" s="125"/>
      <c r="CFM3" s="125"/>
      <c r="CFN3" s="125"/>
      <c r="CFO3" s="125"/>
      <c r="CFP3" s="125"/>
      <c r="CFQ3" s="125"/>
      <c r="CFR3" s="125"/>
      <c r="CFS3" s="125"/>
      <c r="CFT3" s="125"/>
      <c r="CFU3" s="125"/>
      <c r="CFV3" s="125"/>
      <c r="CFW3" s="125"/>
      <c r="CFX3" s="125"/>
      <c r="CFY3" s="125"/>
      <c r="CFZ3" s="125"/>
      <c r="CGA3" s="125"/>
      <c r="CGB3" s="125"/>
      <c r="CGC3" s="125"/>
      <c r="CGD3" s="125"/>
      <c r="CGE3" s="125"/>
      <c r="CGF3" s="125"/>
      <c r="CGG3" s="125"/>
      <c r="CGH3" s="125"/>
      <c r="CGI3" s="125"/>
      <c r="CGJ3" s="125"/>
      <c r="CGK3" s="125"/>
      <c r="CGL3" s="125"/>
      <c r="CGM3" s="125"/>
      <c r="CGN3" s="125"/>
      <c r="CGO3" s="125"/>
      <c r="CGP3" s="125"/>
      <c r="CGQ3" s="125"/>
      <c r="CGR3" s="125"/>
      <c r="CGS3" s="125"/>
      <c r="CGT3" s="125"/>
      <c r="CGU3" s="125"/>
      <c r="CGV3" s="125"/>
      <c r="CGW3" s="125"/>
      <c r="CGX3" s="125"/>
      <c r="CGY3" s="125"/>
      <c r="CGZ3" s="125"/>
      <c r="CHA3" s="125"/>
      <c r="CHB3" s="125"/>
      <c r="CHC3" s="125"/>
      <c r="CHD3" s="125"/>
      <c r="CHE3" s="125"/>
      <c r="CHF3" s="125"/>
      <c r="CHG3" s="125"/>
      <c r="CHH3" s="125"/>
      <c r="CHI3" s="125"/>
      <c r="CHJ3" s="125"/>
      <c r="CHK3" s="125"/>
      <c r="CHL3" s="125"/>
      <c r="CHM3" s="125"/>
      <c r="CHN3" s="125"/>
      <c r="CHO3" s="125"/>
      <c r="CHP3" s="125"/>
      <c r="CHQ3" s="125"/>
      <c r="CHR3" s="125"/>
      <c r="CHS3" s="125"/>
      <c r="CHT3" s="125"/>
      <c r="CHU3" s="125"/>
      <c r="CHV3" s="125"/>
      <c r="CHW3" s="125"/>
      <c r="CHX3" s="125"/>
      <c r="CHY3" s="125"/>
      <c r="CHZ3" s="125"/>
      <c r="CIA3" s="125"/>
      <c r="CIB3" s="125"/>
      <c r="CIC3" s="125"/>
      <c r="CID3" s="125"/>
      <c r="CIE3" s="125"/>
      <c r="CIF3" s="125"/>
      <c r="CIG3" s="125"/>
      <c r="CIH3" s="125"/>
      <c r="CII3" s="125"/>
      <c r="CIJ3" s="125"/>
      <c r="CIK3" s="125"/>
      <c r="CIL3" s="125"/>
      <c r="CIM3" s="125"/>
      <c r="CIN3" s="125"/>
      <c r="CIO3" s="125"/>
      <c r="CIP3" s="125"/>
      <c r="CIQ3" s="125"/>
      <c r="CIR3" s="125"/>
      <c r="CIS3" s="125"/>
      <c r="CIT3" s="125"/>
      <c r="CIU3" s="125"/>
      <c r="CIV3" s="125"/>
      <c r="CIW3" s="125"/>
      <c r="CIX3" s="125"/>
      <c r="CIY3" s="125"/>
      <c r="CIZ3" s="125"/>
      <c r="CJA3" s="125"/>
      <c r="CJB3" s="125"/>
      <c r="CJC3" s="125"/>
      <c r="CJD3" s="125"/>
      <c r="CJE3" s="125"/>
      <c r="CJF3" s="125"/>
      <c r="CJG3" s="125"/>
      <c r="CJH3" s="125"/>
      <c r="CJI3" s="125"/>
      <c r="CJJ3" s="125"/>
      <c r="CJK3" s="125"/>
      <c r="CJL3" s="125"/>
      <c r="CJM3" s="125"/>
      <c r="CJN3" s="125"/>
      <c r="CJO3" s="125"/>
      <c r="CJP3" s="125"/>
      <c r="CJQ3" s="125"/>
      <c r="CJR3" s="125"/>
      <c r="CJS3" s="125"/>
      <c r="CJT3" s="125"/>
      <c r="CJU3" s="125"/>
      <c r="CJV3" s="125"/>
      <c r="CJW3" s="125"/>
      <c r="CJX3" s="125"/>
      <c r="CJY3" s="125"/>
      <c r="CJZ3" s="125"/>
      <c r="CKA3" s="125"/>
      <c r="CKB3" s="125"/>
      <c r="CKC3" s="125"/>
      <c r="CKD3" s="125"/>
      <c r="CKE3" s="125"/>
      <c r="CKF3" s="125"/>
      <c r="CKG3" s="125"/>
      <c r="CKH3" s="125"/>
      <c r="CKI3" s="125"/>
      <c r="CKJ3" s="125"/>
      <c r="CKK3" s="125"/>
      <c r="CKL3" s="125"/>
      <c r="CKM3" s="125"/>
      <c r="CKN3" s="125"/>
      <c r="CKO3" s="125"/>
      <c r="CKP3" s="125"/>
      <c r="CKQ3" s="125"/>
      <c r="CKR3" s="125"/>
      <c r="CKS3" s="125"/>
      <c r="CKT3" s="125"/>
      <c r="CKU3" s="125"/>
      <c r="CKV3" s="125"/>
      <c r="CKW3" s="125"/>
      <c r="CKX3" s="125"/>
      <c r="CKY3" s="125"/>
      <c r="CKZ3" s="125"/>
      <c r="CLA3" s="125"/>
      <c r="CLB3" s="125"/>
      <c r="CLC3" s="125"/>
      <c r="CLD3" s="125"/>
      <c r="CLE3" s="125"/>
      <c r="CLF3" s="125"/>
      <c r="CLG3" s="125"/>
      <c r="CLH3" s="125"/>
      <c r="CLI3" s="125"/>
      <c r="CLJ3" s="125"/>
      <c r="CLK3" s="125"/>
      <c r="CLL3" s="125"/>
      <c r="CLM3" s="125"/>
      <c r="CLN3" s="125"/>
      <c r="CLO3" s="125"/>
      <c r="CLP3" s="125"/>
      <c r="CLQ3" s="125"/>
      <c r="CLR3" s="125"/>
      <c r="CLS3" s="125"/>
      <c r="CLT3" s="125"/>
      <c r="CLU3" s="125"/>
      <c r="CLV3" s="125"/>
      <c r="CLW3" s="125"/>
      <c r="CLX3" s="125"/>
      <c r="CLY3" s="125"/>
      <c r="CLZ3" s="125"/>
      <c r="CMA3" s="125"/>
      <c r="CMB3" s="125"/>
      <c r="CMC3" s="125"/>
      <c r="CMD3" s="125"/>
      <c r="CME3" s="125"/>
      <c r="CMF3" s="125"/>
      <c r="CMG3" s="125"/>
      <c r="CMH3" s="125"/>
      <c r="CMI3" s="125"/>
      <c r="CMJ3" s="125"/>
      <c r="CMK3" s="125"/>
      <c r="CML3" s="125"/>
      <c r="CMM3" s="125"/>
      <c r="CMN3" s="125"/>
      <c r="CMO3" s="125"/>
      <c r="CMP3" s="125"/>
      <c r="CMQ3" s="125"/>
      <c r="CMR3" s="125"/>
      <c r="CMS3" s="125"/>
      <c r="CMT3" s="125"/>
      <c r="CMU3" s="125"/>
      <c r="CMV3" s="125"/>
      <c r="CMW3" s="125"/>
      <c r="CMX3" s="125"/>
      <c r="CMY3" s="125"/>
      <c r="CMZ3" s="125"/>
      <c r="CNA3" s="125"/>
      <c r="CNB3" s="125"/>
      <c r="CNC3" s="125"/>
      <c r="CND3" s="125"/>
      <c r="CNE3" s="125"/>
      <c r="CNF3" s="125"/>
      <c r="CNG3" s="125"/>
      <c r="CNH3" s="125"/>
      <c r="CNI3" s="125"/>
      <c r="CNJ3" s="125"/>
      <c r="CNK3" s="125"/>
      <c r="CNL3" s="125"/>
      <c r="CNM3" s="125"/>
      <c r="CNN3" s="125"/>
      <c r="CNO3" s="125"/>
      <c r="CNP3" s="125"/>
      <c r="CNQ3" s="125"/>
      <c r="CNR3" s="125"/>
      <c r="CNS3" s="125"/>
      <c r="CNT3" s="125"/>
      <c r="CNU3" s="125"/>
      <c r="CNV3" s="125"/>
      <c r="CNW3" s="125"/>
      <c r="CNX3" s="125"/>
      <c r="CNY3" s="125"/>
      <c r="CNZ3" s="125"/>
      <c r="COA3" s="125"/>
      <c r="COB3" s="125"/>
      <c r="COC3" s="125"/>
      <c r="COD3" s="125"/>
      <c r="COE3" s="125"/>
      <c r="COF3" s="125"/>
      <c r="COG3" s="125"/>
      <c r="COH3" s="125"/>
      <c r="COI3" s="125"/>
      <c r="COJ3" s="125"/>
      <c r="COK3" s="125"/>
      <c r="COL3" s="125"/>
      <c r="COM3" s="125"/>
      <c r="CON3" s="125"/>
      <c r="COO3" s="125"/>
      <c r="COP3" s="125"/>
      <c r="COQ3" s="125"/>
      <c r="COR3" s="125"/>
      <c r="COS3" s="125"/>
      <c r="COT3" s="125"/>
      <c r="COU3" s="125"/>
      <c r="COV3" s="125"/>
      <c r="COW3" s="125"/>
      <c r="COX3" s="125"/>
      <c r="COY3" s="125"/>
      <c r="COZ3" s="125"/>
      <c r="CPA3" s="125"/>
      <c r="CPB3" s="125"/>
      <c r="CPC3" s="125"/>
      <c r="CPD3" s="125"/>
      <c r="CPE3" s="125"/>
      <c r="CPF3" s="125"/>
      <c r="CPG3" s="125"/>
      <c r="CPH3" s="125"/>
      <c r="CPI3" s="125"/>
      <c r="CPJ3" s="125"/>
      <c r="CPK3" s="125"/>
      <c r="CPL3" s="125"/>
      <c r="CPM3" s="125"/>
      <c r="CPN3" s="125"/>
      <c r="CPO3" s="125"/>
      <c r="CPP3" s="125"/>
      <c r="CPQ3" s="125"/>
      <c r="CPR3" s="125"/>
      <c r="CPS3" s="125"/>
      <c r="CPT3" s="125"/>
      <c r="CPU3" s="125"/>
      <c r="CPV3" s="125"/>
      <c r="CPW3" s="125"/>
      <c r="CPX3" s="125"/>
      <c r="CPY3" s="125"/>
      <c r="CPZ3" s="125"/>
      <c r="CQA3" s="125"/>
      <c r="CQB3" s="125"/>
      <c r="CQC3" s="125"/>
      <c r="CQD3" s="125"/>
      <c r="CQE3" s="125"/>
      <c r="CQF3" s="125"/>
      <c r="CQG3" s="125"/>
      <c r="CQH3" s="125"/>
      <c r="CQI3" s="125"/>
      <c r="CQJ3" s="125"/>
      <c r="CQK3" s="125"/>
      <c r="CQL3" s="125"/>
      <c r="CQM3" s="125"/>
      <c r="CQN3" s="125"/>
      <c r="CQO3" s="125"/>
      <c r="CQP3" s="125"/>
      <c r="CQQ3" s="125"/>
      <c r="CQR3" s="125"/>
      <c r="CQS3" s="125"/>
      <c r="CQT3" s="125"/>
      <c r="CQU3" s="125"/>
      <c r="CQV3" s="125"/>
      <c r="CQW3" s="125"/>
      <c r="CQX3" s="125"/>
      <c r="CQY3" s="125"/>
      <c r="CQZ3" s="125"/>
      <c r="CRA3" s="125"/>
      <c r="CRB3" s="125"/>
      <c r="CRC3" s="125"/>
      <c r="CRD3" s="125"/>
      <c r="CRE3" s="125"/>
      <c r="CRF3" s="125"/>
      <c r="CRG3" s="125"/>
      <c r="CRH3" s="125"/>
      <c r="CRI3" s="125"/>
      <c r="CRJ3" s="125"/>
      <c r="CRK3" s="125"/>
      <c r="CRL3" s="125"/>
      <c r="CRM3" s="125"/>
      <c r="CRN3" s="125"/>
      <c r="CRO3" s="125"/>
      <c r="CRP3" s="125"/>
      <c r="CRQ3" s="125"/>
      <c r="CRR3" s="125"/>
      <c r="CRS3" s="125"/>
      <c r="CRT3" s="125"/>
      <c r="CRU3" s="125"/>
      <c r="CRV3" s="125"/>
      <c r="CRW3" s="125"/>
      <c r="CRX3" s="125"/>
      <c r="CRY3" s="125"/>
      <c r="CRZ3" s="125"/>
      <c r="CSA3" s="125"/>
      <c r="CSB3" s="125"/>
      <c r="CSC3" s="125"/>
      <c r="CSD3" s="125"/>
      <c r="CSE3" s="125"/>
      <c r="CSF3" s="125"/>
      <c r="CSG3" s="125"/>
      <c r="CSH3" s="125"/>
      <c r="CSI3" s="125"/>
      <c r="CSJ3" s="125"/>
      <c r="CSK3" s="125"/>
      <c r="CSL3" s="125"/>
      <c r="CSM3" s="125"/>
      <c r="CSN3" s="125"/>
      <c r="CSO3" s="125"/>
      <c r="CSP3" s="125"/>
      <c r="CSQ3" s="125"/>
      <c r="CSR3" s="125"/>
      <c r="CSS3" s="125"/>
      <c r="CST3" s="125"/>
      <c r="CSU3" s="125"/>
      <c r="CSV3" s="125"/>
      <c r="CSW3" s="125"/>
      <c r="CSX3" s="125"/>
      <c r="CSY3" s="125"/>
      <c r="CSZ3" s="125"/>
      <c r="CTA3" s="125"/>
      <c r="CTB3" s="125"/>
      <c r="CTC3" s="125"/>
      <c r="CTD3" s="125"/>
      <c r="CTE3" s="125"/>
      <c r="CTF3" s="125"/>
      <c r="CTG3" s="125"/>
      <c r="CTH3" s="125"/>
      <c r="CTI3" s="125"/>
      <c r="CTJ3" s="125"/>
      <c r="CTK3" s="125"/>
      <c r="CTL3" s="125"/>
      <c r="CTM3" s="125"/>
      <c r="CTN3" s="125"/>
      <c r="CTO3" s="125"/>
      <c r="CTP3" s="125"/>
      <c r="CTQ3" s="125"/>
      <c r="CTR3" s="125"/>
      <c r="CTS3" s="125"/>
      <c r="CTT3" s="125"/>
      <c r="CTU3" s="125"/>
      <c r="CTV3" s="125"/>
      <c r="CTW3" s="125"/>
      <c r="CTX3" s="125"/>
      <c r="CTY3" s="125"/>
      <c r="CTZ3" s="125"/>
      <c r="CUA3" s="125"/>
    </row>
    <row r="4" s="36" customFormat="1" spans="1:2575">
      <c r="A4" s="132"/>
      <c r="B4" s="133" t="s">
        <v>79</v>
      </c>
      <c r="C4" s="134" t="s">
        <v>80</v>
      </c>
      <c r="D4" s="132"/>
      <c r="F4" s="132"/>
      <c r="G4" s="132"/>
      <c r="H4" s="132"/>
      <c r="I4" s="132"/>
      <c r="J4" s="132"/>
      <c r="K4" s="132"/>
      <c r="L4" s="132"/>
      <c r="M4" s="132"/>
      <c r="N4" s="132"/>
      <c r="O4" s="132"/>
      <c r="P4" s="132"/>
      <c r="Q4" s="132"/>
      <c r="R4" s="132"/>
      <c r="S4" s="132"/>
      <c r="T4" s="132"/>
      <c r="U4" s="132"/>
      <c r="V4" s="132"/>
      <c r="W4" s="132"/>
      <c r="X4" s="132"/>
      <c r="Y4" s="132"/>
      <c r="Z4" s="132"/>
      <c r="AA4" s="132"/>
      <c r="AB4" s="132"/>
      <c r="AC4" s="132"/>
      <c r="AD4" s="132"/>
      <c r="AE4" s="132"/>
      <c r="AF4" s="132"/>
      <c r="AG4" s="132"/>
      <c r="AH4" s="132"/>
      <c r="AI4" s="132"/>
      <c r="AJ4" s="132"/>
      <c r="AK4" s="132"/>
      <c r="AL4" s="132"/>
      <c r="AM4" s="132"/>
      <c r="AN4" s="132"/>
      <c r="AO4" s="132"/>
      <c r="AP4" s="132"/>
      <c r="AQ4" s="132"/>
      <c r="AR4" s="132"/>
      <c r="AS4" s="132"/>
      <c r="AT4" s="132"/>
      <c r="AU4" s="132"/>
      <c r="AV4" s="132"/>
      <c r="AW4" s="132"/>
      <c r="AX4" s="132"/>
      <c r="AY4" s="132"/>
      <c r="AZ4" s="132"/>
      <c r="BA4" s="132"/>
      <c r="BB4" s="132"/>
      <c r="BC4" s="132"/>
      <c r="BD4" s="132"/>
      <c r="BE4" s="132"/>
      <c r="BF4" s="132"/>
      <c r="BG4" s="132"/>
      <c r="BH4" s="132"/>
      <c r="BI4" s="132"/>
      <c r="BJ4" s="132"/>
      <c r="BK4" s="132"/>
      <c r="BL4" s="132"/>
      <c r="BM4" s="132"/>
      <c r="BN4" s="132"/>
      <c r="BO4" s="132"/>
      <c r="BP4" s="132"/>
      <c r="BQ4" s="132"/>
      <c r="BR4" s="132"/>
      <c r="BS4" s="132"/>
      <c r="BT4" s="132"/>
      <c r="BU4" s="132"/>
      <c r="BV4" s="132"/>
      <c r="BW4" s="132"/>
      <c r="BX4" s="132"/>
      <c r="BY4" s="132"/>
      <c r="BZ4" s="132"/>
      <c r="CA4" s="132"/>
      <c r="CB4" s="132"/>
      <c r="CC4" s="132"/>
      <c r="CD4" s="132"/>
      <c r="CE4" s="132"/>
      <c r="CF4" s="132"/>
      <c r="CG4" s="132"/>
      <c r="CH4" s="132"/>
      <c r="CI4" s="132"/>
      <c r="CJ4" s="132"/>
      <c r="CK4" s="132"/>
      <c r="CL4" s="132"/>
      <c r="CM4" s="132"/>
      <c r="CN4" s="132"/>
      <c r="CO4" s="132"/>
      <c r="CP4" s="132"/>
      <c r="CQ4" s="132"/>
      <c r="CR4" s="132"/>
      <c r="CS4" s="132"/>
      <c r="CT4" s="132"/>
      <c r="CU4" s="132"/>
      <c r="CV4" s="132"/>
      <c r="CW4" s="132"/>
      <c r="CX4" s="132"/>
      <c r="CY4" s="132"/>
      <c r="CZ4" s="132"/>
      <c r="DA4" s="132"/>
      <c r="DB4" s="132"/>
      <c r="DC4" s="132"/>
      <c r="DD4" s="132"/>
      <c r="DE4" s="132"/>
      <c r="DF4" s="132"/>
      <c r="DG4" s="132"/>
      <c r="DH4" s="132"/>
      <c r="DI4" s="132"/>
      <c r="DJ4" s="132"/>
      <c r="DK4" s="132"/>
      <c r="DL4" s="132"/>
      <c r="DM4" s="132"/>
      <c r="DN4" s="132"/>
      <c r="DO4" s="132"/>
      <c r="DP4" s="132"/>
      <c r="DQ4" s="132"/>
      <c r="DR4" s="132"/>
      <c r="DS4" s="132"/>
      <c r="DT4" s="132"/>
      <c r="DU4" s="132"/>
      <c r="DV4" s="132"/>
      <c r="DW4" s="132"/>
      <c r="DX4" s="132"/>
      <c r="DY4" s="132"/>
      <c r="DZ4" s="132"/>
      <c r="EA4" s="132"/>
      <c r="EB4" s="132"/>
      <c r="EC4" s="132"/>
      <c r="ED4" s="132"/>
      <c r="EE4" s="132"/>
      <c r="EF4" s="132"/>
      <c r="EG4" s="132"/>
      <c r="EH4" s="132"/>
      <c r="EI4" s="132"/>
      <c r="EJ4" s="132"/>
      <c r="EK4" s="132"/>
      <c r="EL4" s="132"/>
      <c r="EM4" s="132"/>
      <c r="EN4" s="132"/>
      <c r="EO4" s="132"/>
      <c r="EP4" s="132"/>
      <c r="EQ4" s="132"/>
      <c r="ER4" s="132"/>
      <c r="ES4" s="132"/>
      <c r="ET4" s="132"/>
      <c r="EU4" s="132"/>
      <c r="EV4" s="132"/>
      <c r="EW4" s="132"/>
      <c r="EX4" s="132"/>
      <c r="EY4" s="132"/>
      <c r="EZ4" s="132"/>
      <c r="FA4" s="132"/>
      <c r="FB4" s="132"/>
      <c r="FC4" s="132"/>
      <c r="FD4" s="132"/>
      <c r="FE4" s="132"/>
      <c r="FF4" s="132"/>
      <c r="FG4" s="132"/>
      <c r="FH4" s="132"/>
      <c r="FI4" s="132"/>
      <c r="FJ4" s="132"/>
      <c r="FK4" s="132"/>
      <c r="FL4" s="132"/>
      <c r="FM4" s="132"/>
      <c r="FN4" s="132"/>
      <c r="FO4" s="132"/>
      <c r="FP4" s="132"/>
      <c r="FQ4" s="132"/>
      <c r="FR4" s="132"/>
      <c r="FS4" s="132"/>
      <c r="FT4" s="132"/>
      <c r="FU4" s="132"/>
      <c r="FV4" s="132"/>
      <c r="FW4" s="132"/>
      <c r="FX4" s="132"/>
      <c r="FY4" s="132"/>
      <c r="FZ4" s="132"/>
      <c r="GA4" s="132"/>
      <c r="GB4" s="132"/>
      <c r="GC4" s="132"/>
      <c r="GD4" s="132"/>
      <c r="GE4" s="132"/>
      <c r="GF4" s="132"/>
      <c r="GG4" s="132"/>
      <c r="GH4" s="132"/>
      <c r="GI4" s="132"/>
      <c r="GJ4" s="132"/>
      <c r="GK4" s="132"/>
      <c r="GL4" s="132"/>
      <c r="GM4" s="132"/>
      <c r="GN4" s="132"/>
      <c r="GO4" s="132"/>
      <c r="GP4" s="132"/>
      <c r="GQ4" s="132"/>
      <c r="GR4" s="132"/>
      <c r="GS4" s="132"/>
      <c r="GT4" s="132"/>
      <c r="GU4" s="132"/>
      <c r="GV4" s="132"/>
      <c r="GW4" s="132"/>
      <c r="GX4" s="132"/>
      <c r="GY4" s="132"/>
      <c r="GZ4" s="132"/>
      <c r="HA4" s="132"/>
      <c r="HB4" s="132"/>
      <c r="HC4" s="132"/>
      <c r="HD4" s="132"/>
      <c r="HE4" s="132"/>
      <c r="HF4" s="132"/>
      <c r="HG4" s="132"/>
      <c r="HH4" s="132"/>
      <c r="HI4" s="132"/>
      <c r="HJ4" s="132"/>
      <c r="HK4" s="132"/>
      <c r="HL4" s="132"/>
      <c r="HM4" s="132"/>
      <c r="HN4" s="132"/>
      <c r="HO4" s="132"/>
      <c r="HP4" s="132"/>
      <c r="HQ4" s="132"/>
      <c r="HR4" s="132"/>
      <c r="HS4" s="132"/>
      <c r="HT4" s="132"/>
      <c r="HU4" s="132"/>
      <c r="HV4" s="132"/>
      <c r="HW4" s="132"/>
      <c r="HX4" s="132"/>
      <c r="HY4" s="132"/>
      <c r="HZ4" s="132"/>
      <c r="IA4" s="132"/>
      <c r="IB4" s="132"/>
      <c r="IC4" s="132"/>
      <c r="ID4" s="132"/>
      <c r="IE4" s="132"/>
      <c r="IF4" s="132"/>
      <c r="IG4" s="132"/>
      <c r="IH4" s="132"/>
      <c r="II4" s="132"/>
      <c r="IJ4" s="132"/>
      <c r="IK4" s="132"/>
      <c r="IL4" s="132"/>
      <c r="IM4" s="132"/>
      <c r="IN4" s="132"/>
      <c r="IO4" s="132"/>
      <c r="IP4" s="132"/>
      <c r="IQ4" s="132"/>
      <c r="IR4" s="132"/>
      <c r="IS4" s="132"/>
      <c r="IT4" s="132"/>
      <c r="IU4" s="132"/>
      <c r="IV4" s="132"/>
      <c r="IW4" s="132"/>
      <c r="IX4" s="132"/>
      <c r="IY4" s="132"/>
      <c r="IZ4" s="132"/>
      <c r="JA4" s="132"/>
      <c r="JB4" s="132"/>
      <c r="JC4" s="132"/>
      <c r="JD4" s="132"/>
      <c r="JE4" s="132"/>
      <c r="JF4" s="132"/>
      <c r="JG4" s="132"/>
      <c r="JH4" s="132"/>
      <c r="JI4" s="132"/>
      <c r="JJ4" s="132"/>
      <c r="JK4" s="132"/>
      <c r="JL4" s="132"/>
      <c r="JM4" s="132"/>
      <c r="JN4" s="132"/>
      <c r="JO4" s="132"/>
      <c r="JP4" s="132"/>
      <c r="JQ4" s="132"/>
      <c r="JR4" s="132"/>
      <c r="JS4" s="132"/>
      <c r="JT4" s="132"/>
      <c r="JU4" s="132"/>
      <c r="JV4" s="132"/>
      <c r="JW4" s="132"/>
      <c r="JX4" s="132"/>
      <c r="JY4" s="132"/>
      <c r="JZ4" s="132"/>
      <c r="KA4" s="132"/>
      <c r="KB4" s="132"/>
      <c r="KC4" s="132"/>
      <c r="KD4" s="132"/>
      <c r="KE4" s="132"/>
      <c r="KF4" s="132"/>
      <c r="KG4" s="132"/>
      <c r="KH4" s="132"/>
      <c r="KI4" s="132"/>
      <c r="KJ4" s="132"/>
      <c r="KK4" s="132"/>
      <c r="KL4" s="132"/>
      <c r="KM4" s="132"/>
      <c r="KN4" s="132"/>
      <c r="KO4" s="132"/>
      <c r="KP4" s="132"/>
      <c r="KQ4" s="132"/>
      <c r="KR4" s="132"/>
      <c r="KS4" s="132"/>
      <c r="KT4" s="132"/>
      <c r="KU4" s="132"/>
      <c r="KV4" s="132"/>
      <c r="KW4" s="132"/>
      <c r="KX4" s="132"/>
      <c r="KY4" s="132"/>
      <c r="KZ4" s="132"/>
      <c r="LA4" s="132"/>
      <c r="LB4" s="132"/>
      <c r="LC4" s="132"/>
      <c r="LD4" s="132"/>
      <c r="LE4" s="132"/>
      <c r="LF4" s="132"/>
      <c r="LG4" s="132"/>
      <c r="LH4" s="132"/>
      <c r="LI4" s="132"/>
      <c r="LJ4" s="132"/>
      <c r="LK4" s="132"/>
      <c r="LL4" s="132"/>
      <c r="LM4" s="132"/>
      <c r="LN4" s="132"/>
      <c r="LO4" s="132"/>
      <c r="LP4" s="132"/>
      <c r="LQ4" s="132"/>
      <c r="LR4" s="132"/>
      <c r="LS4" s="132"/>
      <c r="LT4" s="132"/>
      <c r="LU4" s="132"/>
      <c r="LV4" s="132"/>
      <c r="LW4" s="132"/>
      <c r="LX4" s="132"/>
      <c r="LY4" s="132"/>
      <c r="LZ4" s="132"/>
      <c r="MA4" s="132"/>
      <c r="MB4" s="132"/>
      <c r="MC4" s="132"/>
      <c r="MD4" s="132"/>
      <c r="ME4" s="132"/>
      <c r="MF4" s="132"/>
      <c r="MG4" s="132"/>
      <c r="MH4" s="132"/>
      <c r="MI4" s="132"/>
      <c r="MJ4" s="132"/>
      <c r="MK4" s="132"/>
      <c r="ML4" s="132"/>
      <c r="MM4" s="132"/>
      <c r="MN4" s="132"/>
      <c r="MO4" s="132"/>
      <c r="MP4" s="132"/>
      <c r="MQ4" s="132"/>
      <c r="MR4" s="132"/>
      <c r="MS4" s="132"/>
      <c r="MT4" s="132"/>
      <c r="MU4" s="132"/>
      <c r="MV4" s="132"/>
      <c r="MW4" s="132"/>
      <c r="MX4" s="132"/>
      <c r="MY4" s="132"/>
      <c r="MZ4" s="132"/>
      <c r="NA4" s="132"/>
      <c r="NB4" s="132"/>
      <c r="NC4" s="132"/>
      <c r="ND4" s="132"/>
      <c r="NE4" s="132"/>
      <c r="NF4" s="132"/>
      <c r="NG4" s="132"/>
      <c r="NH4" s="132"/>
      <c r="NI4" s="132"/>
      <c r="NJ4" s="132"/>
      <c r="NK4" s="132"/>
      <c r="NL4" s="132"/>
      <c r="NM4" s="132"/>
      <c r="NN4" s="132"/>
      <c r="NO4" s="132"/>
      <c r="NP4" s="132"/>
      <c r="NQ4" s="132"/>
      <c r="NR4" s="132"/>
      <c r="NS4" s="132"/>
      <c r="NT4" s="132"/>
      <c r="NU4" s="132"/>
      <c r="NV4" s="132"/>
      <c r="NW4" s="132"/>
      <c r="NX4" s="132"/>
      <c r="NY4" s="132"/>
      <c r="NZ4" s="132"/>
      <c r="OA4" s="132"/>
      <c r="OB4" s="132"/>
      <c r="OC4" s="132"/>
      <c r="OD4" s="132"/>
      <c r="OE4" s="132"/>
      <c r="OF4" s="132"/>
      <c r="OG4" s="132"/>
      <c r="OH4" s="132"/>
      <c r="OI4" s="132"/>
      <c r="OJ4" s="132"/>
      <c r="OK4" s="132"/>
      <c r="OL4" s="132"/>
      <c r="OM4" s="132"/>
      <c r="ON4" s="132"/>
      <c r="OO4" s="132"/>
      <c r="OP4" s="132"/>
      <c r="OQ4" s="132"/>
      <c r="OR4" s="132"/>
      <c r="OS4" s="132"/>
      <c r="OT4" s="132"/>
      <c r="OU4" s="132"/>
      <c r="OV4" s="132"/>
      <c r="OW4" s="132"/>
      <c r="OX4" s="132"/>
      <c r="OY4" s="132"/>
      <c r="OZ4" s="132"/>
      <c r="PA4" s="132"/>
      <c r="PB4" s="132"/>
      <c r="PC4" s="132"/>
      <c r="PD4" s="132"/>
      <c r="PE4" s="132"/>
      <c r="PF4" s="132"/>
      <c r="PG4" s="132"/>
      <c r="PH4" s="132"/>
      <c r="PI4" s="132"/>
      <c r="PJ4" s="132"/>
      <c r="PK4" s="132"/>
      <c r="PL4" s="132"/>
      <c r="PM4" s="132"/>
      <c r="PN4" s="132"/>
      <c r="PO4" s="132"/>
      <c r="PP4" s="132"/>
      <c r="PQ4" s="132"/>
      <c r="PR4" s="132"/>
      <c r="PS4" s="132"/>
      <c r="PT4" s="132"/>
      <c r="PU4" s="132"/>
      <c r="PV4" s="132"/>
      <c r="PW4" s="132"/>
      <c r="PX4" s="132"/>
      <c r="PY4" s="132"/>
      <c r="PZ4" s="132"/>
      <c r="QA4" s="132"/>
      <c r="QB4" s="132"/>
      <c r="QC4" s="132"/>
      <c r="QD4" s="132"/>
      <c r="QE4" s="132"/>
      <c r="QF4" s="132"/>
      <c r="QG4" s="132"/>
      <c r="QH4" s="132"/>
      <c r="QI4" s="132"/>
      <c r="QJ4" s="132"/>
      <c r="QK4" s="132"/>
      <c r="QL4" s="132"/>
      <c r="QM4" s="132"/>
      <c r="QN4" s="132"/>
      <c r="QO4" s="132"/>
      <c r="QP4" s="132"/>
      <c r="QQ4" s="132"/>
      <c r="QR4" s="132"/>
      <c r="QS4" s="132"/>
      <c r="QT4" s="132"/>
      <c r="QU4" s="132"/>
      <c r="QV4" s="132"/>
      <c r="QW4" s="132"/>
      <c r="QX4" s="132"/>
      <c r="QY4" s="132"/>
      <c r="QZ4" s="132"/>
      <c r="RA4" s="132"/>
      <c r="RB4" s="132"/>
      <c r="RC4" s="132"/>
      <c r="RD4" s="132"/>
      <c r="RE4" s="132"/>
      <c r="RF4" s="132"/>
      <c r="RG4" s="132"/>
      <c r="RH4" s="132"/>
      <c r="RI4" s="132"/>
      <c r="RJ4" s="132"/>
      <c r="RK4" s="132"/>
      <c r="RL4" s="132"/>
      <c r="RM4" s="132"/>
      <c r="RN4" s="132"/>
      <c r="RO4" s="132"/>
      <c r="RP4" s="132"/>
      <c r="RQ4" s="132"/>
      <c r="RR4" s="132"/>
      <c r="RS4" s="132"/>
      <c r="RT4" s="132"/>
      <c r="RU4" s="132"/>
      <c r="RV4" s="132"/>
      <c r="RW4" s="132"/>
      <c r="RX4" s="132"/>
      <c r="RY4" s="132"/>
      <c r="RZ4" s="132"/>
      <c r="SA4" s="132"/>
      <c r="SB4" s="132"/>
      <c r="SC4" s="132"/>
      <c r="SD4" s="132"/>
      <c r="SE4" s="132"/>
      <c r="SF4" s="132"/>
      <c r="SG4" s="132"/>
      <c r="SH4" s="132"/>
      <c r="SI4" s="132"/>
      <c r="SJ4" s="132"/>
      <c r="SK4" s="132"/>
      <c r="SL4" s="132"/>
      <c r="SM4" s="132"/>
      <c r="SN4" s="132"/>
      <c r="SO4" s="132"/>
      <c r="SP4" s="132"/>
      <c r="SQ4" s="132"/>
      <c r="SR4" s="132"/>
      <c r="SS4" s="132"/>
      <c r="ST4" s="132"/>
      <c r="SU4" s="132"/>
      <c r="SV4" s="132"/>
      <c r="SW4" s="132"/>
      <c r="SX4" s="132"/>
      <c r="SY4" s="132"/>
      <c r="SZ4" s="132"/>
      <c r="TA4" s="132"/>
      <c r="TB4" s="132"/>
      <c r="TC4" s="132"/>
      <c r="TD4" s="132"/>
      <c r="TE4" s="132"/>
      <c r="TF4" s="132"/>
      <c r="TG4" s="132"/>
      <c r="TH4" s="132"/>
      <c r="TI4" s="132"/>
      <c r="TJ4" s="132"/>
      <c r="TK4" s="132"/>
      <c r="TL4" s="132"/>
      <c r="TM4" s="132"/>
      <c r="TN4" s="132"/>
      <c r="TO4" s="132"/>
      <c r="TP4" s="132"/>
      <c r="TQ4" s="132"/>
      <c r="TR4" s="132"/>
      <c r="TS4" s="132"/>
      <c r="TT4" s="132"/>
      <c r="TU4" s="132"/>
      <c r="TV4" s="132"/>
      <c r="TW4" s="132"/>
      <c r="TX4" s="132"/>
      <c r="TY4" s="132"/>
      <c r="TZ4" s="132"/>
      <c r="UA4" s="132"/>
      <c r="UB4" s="132"/>
      <c r="UC4" s="132"/>
      <c r="UD4" s="132"/>
      <c r="UE4" s="132"/>
      <c r="UF4" s="132"/>
      <c r="UG4" s="132"/>
      <c r="UH4" s="132"/>
      <c r="UI4" s="132"/>
      <c r="UJ4" s="132"/>
      <c r="UK4" s="132"/>
      <c r="UL4" s="132"/>
      <c r="UM4" s="132"/>
      <c r="UN4" s="132"/>
      <c r="UO4" s="132"/>
      <c r="UP4" s="132"/>
      <c r="UQ4" s="132"/>
      <c r="UR4" s="132"/>
      <c r="US4" s="132"/>
      <c r="UT4" s="132"/>
      <c r="UU4" s="132"/>
      <c r="UV4" s="132"/>
      <c r="UW4" s="132"/>
      <c r="UX4" s="132"/>
      <c r="UY4" s="132"/>
      <c r="UZ4" s="132"/>
      <c r="VA4" s="132"/>
      <c r="VB4" s="132"/>
      <c r="VC4" s="132"/>
      <c r="VD4" s="132"/>
      <c r="VE4" s="132"/>
      <c r="VF4" s="132"/>
      <c r="VG4" s="132"/>
      <c r="VH4" s="132"/>
      <c r="VI4" s="132"/>
      <c r="VJ4" s="132"/>
      <c r="VK4" s="132"/>
      <c r="VL4" s="132"/>
      <c r="VM4" s="132"/>
      <c r="VN4" s="132"/>
      <c r="VO4" s="132"/>
      <c r="VP4" s="132"/>
      <c r="VQ4" s="132"/>
      <c r="VR4" s="132"/>
      <c r="VS4" s="132"/>
      <c r="VT4" s="132"/>
      <c r="VU4" s="132"/>
      <c r="VV4" s="132"/>
      <c r="VW4" s="132"/>
      <c r="VX4" s="132"/>
      <c r="VY4" s="132"/>
      <c r="VZ4" s="132"/>
      <c r="WA4" s="132"/>
      <c r="WB4" s="132"/>
      <c r="WC4" s="132"/>
      <c r="WD4" s="132"/>
      <c r="WE4" s="132"/>
      <c r="WF4" s="132"/>
      <c r="WG4" s="132"/>
      <c r="WH4" s="132"/>
      <c r="WI4" s="132"/>
      <c r="WJ4" s="132"/>
      <c r="WK4" s="132"/>
      <c r="WL4" s="132"/>
      <c r="WM4" s="132"/>
      <c r="WN4" s="132"/>
      <c r="WO4" s="132"/>
      <c r="WP4" s="132"/>
      <c r="WQ4" s="132"/>
      <c r="WR4" s="132"/>
      <c r="WS4" s="132"/>
      <c r="WT4" s="132"/>
      <c r="WU4" s="132"/>
      <c r="WV4" s="132"/>
      <c r="WW4" s="132"/>
      <c r="WX4" s="132"/>
      <c r="WY4" s="132"/>
      <c r="WZ4" s="132"/>
      <c r="XA4" s="132"/>
      <c r="XB4" s="132"/>
      <c r="XC4" s="132"/>
      <c r="XD4" s="132"/>
      <c r="XE4" s="132"/>
      <c r="XF4" s="132"/>
      <c r="XG4" s="132"/>
      <c r="XH4" s="132"/>
      <c r="XI4" s="132"/>
      <c r="XJ4" s="132"/>
      <c r="XK4" s="132"/>
      <c r="XL4" s="132"/>
      <c r="XM4" s="132"/>
      <c r="XN4" s="132"/>
      <c r="XO4" s="132"/>
      <c r="XP4" s="132"/>
      <c r="XQ4" s="132"/>
      <c r="XR4" s="132"/>
      <c r="XS4" s="132"/>
      <c r="XT4" s="132"/>
      <c r="XU4" s="132"/>
      <c r="XV4" s="132"/>
      <c r="XW4" s="132"/>
      <c r="XX4" s="132"/>
      <c r="XY4" s="132"/>
      <c r="XZ4" s="132"/>
      <c r="YA4" s="132"/>
      <c r="YB4" s="132"/>
      <c r="YC4" s="132"/>
      <c r="YD4" s="132"/>
      <c r="YE4" s="132"/>
      <c r="YF4" s="132"/>
      <c r="YG4" s="132"/>
      <c r="YH4" s="132"/>
      <c r="YI4" s="132"/>
      <c r="YJ4" s="132"/>
      <c r="YK4" s="132"/>
      <c r="YL4" s="132"/>
      <c r="YM4" s="132"/>
      <c r="YN4" s="132"/>
      <c r="YO4" s="132"/>
      <c r="YP4" s="132"/>
      <c r="YQ4" s="132"/>
      <c r="YR4" s="132"/>
      <c r="YS4" s="132"/>
      <c r="YT4" s="132"/>
      <c r="YU4" s="132"/>
      <c r="YV4" s="132"/>
      <c r="YW4" s="132"/>
      <c r="YX4" s="132"/>
      <c r="YY4" s="132"/>
      <c r="YZ4" s="132"/>
      <c r="ZA4" s="132"/>
      <c r="ZB4" s="132"/>
      <c r="ZC4" s="132"/>
      <c r="ZD4" s="132"/>
      <c r="ZE4" s="132"/>
      <c r="ZF4" s="132"/>
      <c r="ZG4" s="132"/>
      <c r="ZH4" s="132"/>
      <c r="ZI4" s="132"/>
      <c r="ZJ4" s="132"/>
      <c r="ZK4" s="132"/>
      <c r="ZL4" s="132"/>
      <c r="ZM4" s="132"/>
      <c r="ZN4" s="132"/>
      <c r="ZO4" s="132"/>
      <c r="ZP4" s="132"/>
      <c r="ZQ4" s="132"/>
      <c r="ZR4" s="132"/>
      <c r="ZS4" s="132"/>
      <c r="ZT4" s="132"/>
      <c r="ZU4" s="132"/>
      <c r="ZV4" s="132"/>
      <c r="ZW4" s="132"/>
      <c r="ZX4" s="132"/>
      <c r="ZY4" s="132"/>
      <c r="ZZ4" s="132"/>
      <c r="AAA4" s="132"/>
      <c r="AAB4" s="132"/>
      <c r="AAC4" s="132"/>
      <c r="AAD4" s="132"/>
      <c r="AAE4" s="132"/>
      <c r="AAF4" s="132"/>
      <c r="AAG4" s="132"/>
      <c r="AAH4" s="132"/>
      <c r="AAI4" s="132"/>
      <c r="AAJ4" s="132"/>
      <c r="AAK4" s="132"/>
      <c r="AAL4" s="132"/>
      <c r="AAM4" s="132"/>
      <c r="AAN4" s="132"/>
      <c r="AAO4" s="132"/>
      <c r="AAP4" s="132"/>
      <c r="AAQ4" s="132"/>
      <c r="AAR4" s="132"/>
      <c r="AAS4" s="132"/>
      <c r="AAT4" s="132"/>
      <c r="AAU4" s="132"/>
      <c r="AAV4" s="132"/>
      <c r="AAW4" s="132"/>
      <c r="AAX4" s="132"/>
      <c r="AAY4" s="132"/>
      <c r="AAZ4" s="132"/>
      <c r="ABA4" s="132"/>
      <c r="ABB4" s="132"/>
      <c r="ABC4" s="132"/>
      <c r="ABD4" s="132"/>
      <c r="ABE4" s="132"/>
      <c r="ABF4" s="132"/>
      <c r="ABG4" s="132"/>
      <c r="ABH4" s="132"/>
      <c r="ABI4" s="132"/>
      <c r="ABJ4" s="132"/>
      <c r="ABK4" s="132"/>
      <c r="ABL4" s="132"/>
      <c r="ABM4" s="132"/>
      <c r="ABN4" s="132"/>
      <c r="ABO4" s="132"/>
      <c r="ABP4" s="132"/>
      <c r="ABQ4" s="132"/>
      <c r="ABR4" s="132"/>
      <c r="ABS4" s="132"/>
      <c r="ABT4" s="132"/>
      <c r="ABU4" s="132"/>
      <c r="ABV4" s="132"/>
      <c r="ABW4" s="132"/>
      <c r="ABX4" s="132"/>
      <c r="ABY4" s="132"/>
      <c r="ABZ4" s="132"/>
      <c r="ACA4" s="132"/>
      <c r="ACB4" s="132"/>
      <c r="ACC4" s="132"/>
      <c r="ACD4" s="132"/>
      <c r="ACE4" s="132"/>
      <c r="ACF4" s="132"/>
      <c r="ACG4" s="132"/>
      <c r="ACH4" s="132"/>
      <c r="ACI4" s="132"/>
      <c r="ACJ4" s="132"/>
      <c r="ACK4" s="132"/>
      <c r="ACL4" s="132"/>
      <c r="ACM4" s="132"/>
      <c r="ACN4" s="132"/>
      <c r="ACO4" s="132"/>
      <c r="ACP4" s="132"/>
      <c r="ACQ4" s="132"/>
      <c r="ACR4" s="132"/>
      <c r="ACS4" s="132"/>
      <c r="ACT4" s="132"/>
      <c r="ACU4" s="132"/>
      <c r="ACV4" s="132"/>
      <c r="ACW4" s="132"/>
      <c r="ACX4" s="132"/>
      <c r="ACY4" s="132"/>
      <c r="ACZ4" s="132"/>
      <c r="ADA4" s="132"/>
      <c r="ADB4" s="132"/>
      <c r="ADC4" s="132"/>
      <c r="ADD4" s="132"/>
      <c r="ADE4" s="132"/>
      <c r="ADF4" s="132"/>
      <c r="ADG4" s="132"/>
      <c r="ADH4" s="132"/>
      <c r="ADI4" s="132"/>
      <c r="ADJ4" s="132"/>
      <c r="ADK4" s="132"/>
      <c r="ADL4" s="132"/>
      <c r="ADM4" s="132"/>
      <c r="ADN4" s="132"/>
      <c r="ADO4" s="132"/>
      <c r="ADP4" s="132"/>
      <c r="ADQ4" s="132"/>
      <c r="ADR4" s="132"/>
      <c r="ADS4" s="132"/>
      <c r="ADT4" s="132"/>
      <c r="ADU4" s="132"/>
      <c r="ADV4" s="132"/>
      <c r="ADW4" s="132"/>
      <c r="ADX4" s="132"/>
      <c r="ADY4" s="132"/>
      <c r="ADZ4" s="132"/>
      <c r="AEA4" s="132"/>
      <c r="AEB4" s="132"/>
      <c r="AEC4" s="132"/>
      <c r="AED4" s="132"/>
      <c r="AEE4" s="132"/>
      <c r="AEF4" s="132"/>
      <c r="AEG4" s="132"/>
      <c r="AEH4" s="132"/>
      <c r="AEI4" s="132"/>
      <c r="AEJ4" s="132"/>
      <c r="AEK4" s="132"/>
      <c r="AEL4" s="132"/>
      <c r="AEM4" s="132"/>
      <c r="AEN4" s="132"/>
      <c r="AEO4" s="132"/>
      <c r="AEP4" s="132"/>
      <c r="AEQ4" s="132"/>
      <c r="AER4" s="132"/>
      <c r="AES4" s="132"/>
      <c r="AET4" s="132"/>
      <c r="AEU4" s="132"/>
      <c r="AEV4" s="132"/>
      <c r="AEW4" s="132"/>
      <c r="AEX4" s="132"/>
      <c r="AEY4" s="132"/>
      <c r="AEZ4" s="132"/>
      <c r="AFA4" s="132"/>
      <c r="AFB4" s="132"/>
      <c r="AFC4" s="132"/>
      <c r="AFD4" s="132"/>
      <c r="AFE4" s="132"/>
      <c r="AFF4" s="132"/>
      <c r="AFG4" s="132"/>
      <c r="AFH4" s="132"/>
      <c r="AFI4" s="132"/>
      <c r="AFJ4" s="132"/>
      <c r="AFK4" s="132"/>
      <c r="AFL4" s="132"/>
      <c r="AFM4" s="132"/>
      <c r="AFN4" s="132"/>
      <c r="AFO4" s="132"/>
      <c r="AFP4" s="132"/>
      <c r="AFQ4" s="132"/>
      <c r="AFR4" s="132"/>
      <c r="AFS4" s="132"/>
      <c r="AFT4" s="132"/>
      <c r="AFU4" s="132"/>
      <c r="AFV4" s="132"/>
      <c r="AFW4" s="132"/>
      <c r="AFX4" s="132"/>
      <c r="AFY4" s="132"/>
      <c r="AFZ4" s="132"/>
      <c r="AGA4" s="132"/>
      <c r="AGB4" s="132"/>
      <c r="AGC4" s="132"/>
      <c r="AGD4" s="132"/>
      <c r="AGE4" s="132"/>
      <c r="AGF4" s="132"/>
      <c r="AGG4" s="132"/>
      <c r="AGH4" s="132"/>
      <c r="AGI4" s="132"/>
      <c r="AGJ4" s="132"/>
      <c r="AGK4" s="132"/>
      <c r="AGL4" s="132"/>
      <c r="AGM4" s="132"/>
      <c r="AGN4" s="132"/>
      <c r="AGO4" s="132"/>
      <c r="AGP4" s="132"/>
      <c r="AGQ4" s="132"/>
      <c r="AGR4" s="132"/>
      <c r="AGS4" s="132"/>
      <c r="AGT4" s="132"/>
      <c r="AGU4" s="132"/>
      <c r="AGV4" s="132"/>
      <c r="AGW4" s="132"/>
      <c r="AGX4" s="132"/>
      <c r="AGY4" s="132"/>
      <c r="AGZ4" s="132"/>
      <c r="AHA4" s="132"/>
      <c r="AHB4" s="132"/>
      <c r="AHC4" s="132"/>
      <c r="AHD4" s="132"/>
      <c r="AHE4" s="132"/>
      <c r="AHF4" s="132"/>
      <c r="AHG4" s="132"/>
      <c r="AHH4" s="132"/>
      <c r="AHI4" s="132"/>
      <c r="AHJ4" s="132"/>
      <c r="AHK4" s="132"/>
      <c r="AHL4" s="132"/>
      <c r="AHM4" s="132"/>
      <c r="AHN4" s="132"/>
      <c r="AHO4" s="132"/>
      <c r="AHP4" s="132"/>
      <c r="AHQ4" s="132"/>
      <c r="AHR4" s="132"/>
      <c r="AHS4" s="132"/>
      <c r="AHT4" s="132"/>
      <c r="AHU4" s="132"/>
      <c r="AHV4" s="132"/>
      <c r="AHW4" s="132"/>
      <c r="AHX4" s="132"/>
      <c r="AHY4" s="132"/>
      <c r="AHZ4" s="132"/>
      <c r="AIA4" s="132"/>
      <c r="AIB4" s="132"/>
      <c r="AIC4" s="132"/>
      <c r="AID4" s="132"/>
      <c r="AIE4" s="132"/>
      <c r="AIF4" s="132"/>
      <c r="AIG4" s="132"/>
      <c r="AIH4" s="132"/>
      <c r="AII4" s="132"/>
      <c r="AIJ4" s="132"/>
      <c r="AIK4" s="132"/>
      <c r="AIL4" s="132"/>
      <c r="AIM4" s="132"/>
      <c r="AIN4" s="132"/>
      <c r="AIO4" s="132"/>
      <c r="AIP4" s="132"/>
      <c r="AIQ4" s="132"/>
      <c r="AIR4" s="132"/>
      <c r="AIS4" s="132"/>
      <c r="AIT4" s="132"/>
      <c r="AIU4" s="132"/>
      <c r="AIV4" s="132"/>
      <c r="AIW4" s="132"/>
      <c r="AIX4" s="132"/>
      <c r="AIY4" s="132"/>
      <c r="AIZ4" s="132"/>
      <c r="AJA4" s="132"/>
      <c r="AJB4" s="132"/>
      <c r="AJC4" s="132"/>
      <c r="AJD4" s="132"/>
      <c r="AJE4" s="132"/>
      <c r="AJF4" s="132"/>
      <c r="AJG4" s="132"/>
      <c r="AJH4" s="132"/>
      <c r="AJI4" s="132"/>
      <c r="AJJ4" s="132"/>
      <c r="AJK4" s="132"/>
      <c r="AJL4" s="132"/>
      <c r="AJM4" s="132"/>
      <c r="AJN4" s="132"/>
      <c r="AJO4" s="132"/>
      <c r="AJP4" s="132"/>
      <c r="AJQ4" s="132"/>
      <c r="AJR4" s="132"/>
      <c r="AJS4" s="132"/>
      <c r="AJT4" s="132"/>
      <c r="AJU4" s="132"/>
      <c r="AJV4" s="132"/>
      <c r="AJW4" s="132"/>
      <c r="AJX4" s="132"/>
      <c r="AJY4" s="132"/>
      <c r="AJZ4" s="132"/>
      <c r="AKA4" s="132"/>
      <c r="AKB4" s="132"/>
      <c r="AKC4" s="132"/>
      <c r="AKD4" s="132"/>
      <c r="AKE4" s="132"/>
      <c r="AKF4" s="132"/>
      <c r="AKG4" s="132"/>
      <c r="AKH4" s="132"/>
      <c r="AKI4" s="132"/>
      <c r="AKJ4" s="132"/>
      <c r="AKK4" s="132"/>
      <c r="AKL4" s="132"/>
      <c r="AKM4" s="132"/>
      <c r="AKN4" s="132"/>
      <c r="AKO4" s="132"/>
      <c r="AKP4" s="132"/>
      <c r="AKQ4" s="132"/>
      <c r="AKR4" s="132"/>
      <c r="AKS4" s="132"/>
      <c r="AKT4" s="132"/>
      <c r="AKU4" s="132"/>
      <c r="AKV4" s="132"/>
      <c r="AKW4" s="132"/>
      <c r="AKX4" s="132"/>
      <c r="AKY4" s="132"/>
      <c r="AKZ4" s="132"/>
      <c r="ALA4" s="132"/>
      <c r="ALB4" s="132"/>
      <c r="ALC4" s="132"/>
      <c r="ALD4" s="132"/>
      <c r="ALE4" s="132"/>
      <c r="ALF4" s="132"/>
      <c r="ALG4" s="132"/>
      <c r="ALH4" s="132"/>
      <c r="ALI4" s="132"/>
      <c r="ALJ4" s="132"/>
      <c r="ALK4" s="132"/>
      <c r="ALL4" s="132"/>
      <c r="ALM4" s="132"/>
      <c r="ALN4" s="132"/>
      <c r="ALO4" s="132"/>
      <c r="ALP4" s="132"/>
      <c r="ALQ4" s="132"/>
      <c r="ALR4" s="132"/>
      <c r="ALS4" s="132"/>
      <c r="ALT4" s="132"/>
      <c r="ALU4" s="132"/>
      <c r="ALV4" s="132"/>
      <c r="ALW4" s="132"/>
      <c r="ALX4" s="132"/>
      <c r="ALY4" s="132"/>
      <c r="ALZ4" s="132"/>
      <c r="AMA4" s="132"/>
      <c r="AMB4" s="132"/>
      <c r="AMC4" s="132"/>
      <c r="AMD4" s="132"/>
      <c r="AME4" s="132"/>
      <c r="AMF4" s="132"/>
      <c r="AMG4" s="132"/>
      <c r="AMH4" s="132"/>
      <c r="AMI4" s="132"/>
      <c r="AMJ4" s="132"/>
      <c r="AMK4" s="132"/>
      <c r="AML4" s="132"/>
      <c r="AMM4" s="132"/>
      <c r="AMN4" s="132"/>
      <c r="AMO4" s="132"/>
      <c r="AMP4" s="132"/>
      <c r="AMQ4" s="132"/>
      <c r="AMR4" s="132"/>
      <c r="AMS4" s="132"/>
      <c r="AMT4" s="132"/>
      <c r="AMU4" s="132"/>
      <c r="AMV4" s="132"/>
      <c r="AMW4" s="132"/>
      <c r="AMX4" s="132"/>
      <c r="AMY4" s="132"/>
      <c r="AMZ4" s="132"/>
      <c r="ANA4" s="132"/>
      <c r="ANB4" s="132"/>
      <c r="ANC4" s="132"/>
      <c r="AND4" s="132"/>
      <c r="ANE4" s="132"/>
      <c r="ANF4" s="132"/>
      <c r="ANG4" s="132"/>
      <c r="ANH4" s="132"/>
      <c r="ANI4" s="132"/>
      <c r="ANJ4" s="132"/>
      <c r="ANK4" s="132"/>
      <c r="ANL4" s="132"/>
      <c r="ANM4" s="132"/>
      <c r="ANN4" s="132"/>
      <c r="ANO4" s="132"/>
      <c r="ANP4" s="132"/>
      <c r="ANQ4" s="132"/>
      <c r="ANR4" s="132"/>
      <c r="ANS4" s="132"/>
      <c r="ANT4" s="132"/>
      <c r="ANU4" s="132"/>
      <c r="ANV4" s="132"/>
      <c r="ANW4" s="132"/>
      <c r="ANX4" s="132"/>
      <c r="ANY4" s="132"/>
      <c r="ANZ4" s="132"/>
      <c r="AOA4" s="132"/>
      <c r="AOB4" s="132"/>
      <c r="AOC4" s="132"/>
      <c r="AOD4" s="132"/>
      <c r="AOE4" s="132"/>
      <c r="AOF4" s="132"/>
      <c r="AOG4" s="132"/>
      <c r="AOH4" s="132"/>
      <c r="AOI4" s="132"/>
      <c r="AOJ4" s="132"/>
      <c r="AOK4" s="132"/>
      <c r="AOL4" s="132"/>
      <c r="AOM4" s="132"/>
      <c r="AON4" s="132"/>
      <c r="AOO4" s="132"/>
      <c r="AOP4" s="132"/>
      <c r="AOQ4" s="132"/>
      <c r="AOR4" s="132"/>
      <c r="AOS4" s="132"/>
      <c r="AOT4" s="132"/>
      <c r="AOU4" s="132"/>
      <c r="AOV4" s="132"/>
      <c r="AOW4" s="132"/>
      <c r="AOX4" s="132"/>
      <c r="AOY4" s="132"/>
      <c r="AOZ4" s="132"/>
      <c r="APA4" s="132"/>
      <c r="APB4" s="132"/>
      <c r="APC4" s="132"/>
      <c r="APD4" s="132"/>
      <c r="APE4" s="132"/>
      <c r="APF4" s="132"/>
      <c r="APG4" s="132"/>
      <c r="APH4" s="132"/>
      <c r="API4" s="132"/>
      <c r="APJ4" s="132"/>
      <c r="APK4" s="132"/>
      <c r="APL4" s="132"/>
      <c r="APM4" s="132"/>
      <c r="APN4" s="132"/>
      <c r="APO4" s="132"/>
      <c r="APP4" s="132"/>
      <c r="APQ4" s="132"/>
      <c r="APR4" s="132"/>
      <c r="APS4" s="132"/>
      <c r="APT4" s="132"/>
      <c r="APU4" s="132"/>
      <c r="APV4" s="132"/>
      <c r="APW4" s="132"/>
      <c r="APX4" s="132"/>
      <c r="APY4" s="132"/>
      <c r="APZ4" s="132"/>
      <c r="AQA4" s="132"/>
      <c r="AQB4" s="132"/>
      <c r="AQC4" s="132"/>
      <c r="AQD4" s="132"/>
      <c r="AQE4" s="132"/>
      <c r="AQF4" s="132"/>
      <c r="AQG4" s="132"/>
      <c r="AQH4" s="132"/>
      <c r="AQI4" s="132"/>
      <c r="AQJ4" s="132"/>
      <c r="AQK4" s="132"/>
      <c r="AQL4" s="132"/>
      <c r="AQM4" s="132"/>
      <c r="AQN4" s="132"/>
      <c r="AQO4" s="132"/>
      <c r="AQP4" s="132"/>
      <c r="AQQ4" s="132"/>
      <c r="AQR4" s="132"/>
      <c r="AQS4" s="132"/>
      <c r="AQT4" s="132"/>
      <c r="AQU4" s="132"/>
      <c r="AQV4" s="132"/>
      <c r="AQW4" s="132"/>
      <c r="AQX4" s="132"/>
      <c r="AQY4" s="132"/>
      <c r="AQZ4" s="132"/>
      <c r="ARA4" s="132"/>
      <c r="ARB4" s="132"/>
      <c r="ARC4" s="132"/>
      <c r="ARD4" s="132"/>
      <c r="ARE4" s="132"/>
      <c r="ARF4" s="132"/>
      <c r="ARG4" s="132"/>
      <c r="ARH4" s="132"/>
      <c r="ARI4" s="132"/>
      <c r="ARJ4" s="132"/>
      <c r="ARK4" s="132"/>
      <c r="ARL4" s="132"/>
      <c r="ARM4" s="132"/>
      <c r="ARN4" s="132"/>
      <c r="ARO4" s="132"/>
      <c r="ARP4" s="132"/>
      <c r="ARQ4" s="132"/>
      <c r="ARR4" s="132"/>
      <c r="ARS4" s="132"/>
      <c r="ART4" s="132"/>
      <c r="ARU4" s="132"/>
      <c r="ARV4" s="132"/>
      <c r="ARW4" s="132"/>
      <c r="ARX4" s="132"/>
      <c r="ARY4" s="132"/>
      <c r="ARZ4" s="132"/>
      <c r="ASA4" s="132"/>
      <c r="ASB4" s="132"/>
      <c r="ASC4" s="132"/>
      <c r="ASD4" s="132"/>
      <c r="ASE4" s="132"/>
      <c r="ASF4" s="132"/>
      <c r="ASG4" s="132"/>
      <c r="ASH4" s="132"/>
      <c r="ASI4" s="132"/>
      <c r="ASJ4" s="132"/>
      <c r="ASK4" s="132"/>
      <c r="ASL4" s="132"/>
      <c r="ASM4" s="132"/>
      <c r="ASN4" s="132"/>
      <c r="ASO4" s="132"/>
      <c r="ASP4" s="132"/>
      <c r="ASQ4" s="132"/>
      <c r="ASR4" s="132"/>
      <c r="ASS4" s="132"/>
      <c r="AST4" s="132"/>
      <c r="ASU4" s="132"/>
      <c r="ASV4" s="132"/>
      <c r="ASW4" s="132"/>
      <c r="ASX4" s="132"/>
      <c r="ASY4" s="132"/>
      <c r="ASZ4" s="132"/>
      <c r="ATA4" s="132"/>
      <c r="ATB4" s="132"/>
      <c r="ATC4" s="132"/>
      <c r="ATD4" s="132"/>
      <c r="ATE4" s="132"/>
      <c r="ATF4" s="132"/>
      <c r="ATG4" s="132"/>
      <c r="ATH4" s="132"/>
      <c r="ATI4" s="132"/>
      <c r="ATJ4" s="132"/>
      <c r="ATK4" s="132"/>
      <c r="ATL4" s="132"/>
      <c r="ATM4" s="132"/>
      <c r="ATN4" s="132"/>
      <c r="ATO4" s="132"/>
      <c r="ATP4" s="132"/>
      <c r="ATQ4" s="132"/>
      <c r="ATR4" s="132"/>
      <c r="ATS4" s="132"/>
      <c r="ATT4" s="132"/>
      <c r="ATU4" s="132"/>
      <c r="ATV4" s="132"/>
      <c r="ATW4" s="132"/>
      <c r="ATX4" s="132"/>
      <c r="ATY4" s="132"/>
      <c r="ATZ4" s="132"/>
      <c r="AUA4" s="132"/>
      <c r="AUB4" s="132"/>
      <c r="AUC4" s="132"/>
      <c r="AUD4" s="132"/>
      <c r="AUE4" s="132"/>
      <c r="AUF4" s="132"/>
      <c r="AUG4" s="132"/>
      <c r="AUH4" s="132"/>
      <c r="AUI4" s="132"/>
      <c r="AUJ4" s="132"/>
      <c r="AUK4" s="132"/>
      <c r="AUL4" s="132"/>
      <c r="AUM4" s="132"/>
      <c r="AUN4" s="132"/>
      <c r="AUO4" s="132"/>
      <c r="AUP4" s="132"/>
      <c r="AUQ4" s="132"/>
      <c r="AUR4" s="132"/>
      <c r="AUS4" s="132"/>
      <c r="AUT4" s="132"/>
      <c r="AUU4" s="132"/>
      <c r="AUV4" s="132"/>
      <c r="AUW4" s="132"/>
      <c r="AUX4" s="132"/>
      <c r="AUY4" s="132"/>
      <c r="AUZ4" s="132"/>
      <c r="AVA4" s="132"/>
      <c r="AVB4" s="132"/>
      <c r="AVC4" s="132"/>
      <c r="AVD4" s="132"/>
      <c r="AVE4" s="132"/>
      <c r="AVF4" s="132"/>
      <c r="AVG4" s="132"/>
      <c r="AVH4" s="132"/>
      <c r="AVI4" s="132"/>
      <c r="AVJ4" s="132"/>
      <c r="AVK4" s="132"/>
      <c r="AVL4" s="132"/>
      <c r="AVM4" s="132"/>
      <c r="AVN4" s="132"/>
      <c r="AVO4" s="132"/>
      <c r="AVP4" s="132"/>
      <c r="AVQ4" s="132"/>
      <c r="AVR4" s="132"/>
      <c r="AVS4" s="132"/>
      <c r="AVT4" s="132"/>
      <c r="AVU4" s="132"/>
      <c r="AVV4" s="132"/>
      <c r="AVW4" s="132"/>
      <c r="AVX4" s="132"/>
      <c r="AVY4" s="132"/>
      <c r="AVZ4" s="132"/>
      <c r="AWA4" s="132"/>
      <c r="AWB4" s="132"/>
      <c r="AWC4" s="132"/>
      <c r="AWD4" s="132"/>
      <c r="AWE4" s="132"/>
      <c r="AWF4" s="132"/>
      <c r="AWG4" s="132"/>
      <c r="AWH4" s="132"/>
      <c r="AWI4" s="132"/>
      <c r="AWJ4" s="132"/>
      <c r="AWK4" s="132"/>
      <c r="AWL4" s="132"/>
      <c r="AWM4" s="132"/>
      <c r="AWN4" s="132"/>
      <c r="AWO4" s="132"/>
      <c r="AWP4" s="132"/>
      <c r="AWQ4" s="132"/>
      <c r="AWR4" s="132"/>
      <c r="AWS4" s="132"/>
      <c r="AWT4" s="132"/>
      <c r="AWU4" s="132"/>
      <c r="AWV4" s="132"/>
      <c r="AWW4" s="132"/>
      <c r="AWX4" s="132"/>
      <c r="AWY4" s="132"/>
      <c r="AWZ4" s="132"/>
      <c r="AXA4" s="132"/>
      <c r="AXB4" s="132"/>
      <c r="AXC4" s="132"/>
      <c r="AXD4" s="132"/>
      <c r="AXE4" s="132"/>
      <c r="AXF4" s="132"/>
      <c r="AXG4" s="132"/>
      <c r="AXH4" s="132"/>
      <c r="AXI4" s="132"/>
      <c r="AXJ4" s="132"/>
      <c r="AXK4" s="132"/>
      <c r="AXL4" s="132"/>
      <c r="AXM4" s="132"/>
      <c r="AXN4" s="132"/>
      <c r="AXO4" s="132"/>
      <c r="AXP4" s="132"/>
      <c r="AXQ4" s="132"/>
      <c r="AXR4" s="132"/>
      <c r="AXS4" s="132"/>
      <c r="AXT4" s="132"/>
      <c r="AXU4" s="132"/>
      <c r="AXV4" s="132"/>
      <c r="AXW4" s="132"/>
      <c r="AXX4" s="132"/>
      <c r="AXY4" s="132"/>
      <c r="AXZ4" s="132"/>
      <c r="AYA4" s="132"/>
      <c r="AYB4" s="132"/>
      <c r="AYC4" s="132"/>
      <c r="AYD4" s="132"/>
      <c r="AYE4" s="132"/>
      <c r="AYF4" s="132"/>
      <c r="AYG4" s="132"/>
      <c r="AYH4" s="132"/>
      <c r="AYI4" s="132"/>
      <c r="AYJ4" s="132"/>
      <c r="AYK4" s="132"/>
      <c r="AYL4" s="132"/>
      <c r="AYM4" s="132"/>
      <c r="AYN4" s="132"/>
      <c r="AYO4" s="132"/>
      <c r="AYP4" s="132"/>
      <c r="AYQ4" s="132"/>
      <c r="AYR4" s="132"/>
      <c r="AYS4" s="132"/>
      <c r="AYT4" s="132"/>
      <c r="AYU4" s="132"/>
      <c r="AYV4" s="132"/>
      <c r="AYW4" s="132"/>
      <c r="AYX4" s="132"/>
      <c r="AYY4" s="132"/>
      <c r="AYZ4" s="132"/>
      <c r="AZA4" s="132"/>
      <c r="AZB4" s="132"/>
      <c r="AZC4" s="132"/>
      <c r="AZD4" s="132"/>
      <c r="AZE4" s="132"/>
      <c r="AZF4" s="132"/>
      <c r="AZG4" s="132"/>
      <c r="AZH4" s="132"/>
      <c r="AZI4" s="132"/>
      <c r="AZJ4" s="132"/>
      <c r="AZK4" s="132"/>
      <c r="AZL4" s="132"/>
      <c r="AZM4" s="132"/>
      <c r="AZN4" s="132"/>
      <c r="AZO4" s="132"/>
      <c r="AZP4" s="132"/>
      <c r="AZQ4" s="132"/>
      <c r="AZR4" s="132"/>
      <c r="AZS4" s="132"/>
      <c r="AZT4" s="132"/>
      <c r="AZU4" s="132"/>
      <c r="AZV4" s="132"/>
      <c r="AZW4" s="132"/>
      <c r="AZX4" s="132"/>
      <c r="AZY4" s="132"/>
      <c r="AZZ4" s="132"/>
      <c r="BAA4" s="132"/>
      <c r="BAB4" s="132"/>
      <c r="BAC4" s="132"/>
      <c r="BAD4" s="132"/>
      <c r="BAE4" s="132"/>
      <c r="BAF4" s="132"/>
      <c r="BAG4" s="132"/>
      <c r="BAH4" s="132"/>
      <c r="BAI4" s="132"/>
      <c r="BAJ4" s="132"/>
      <c r="BAK4" s="132"/>
      <c r="BAL4" s="132"/>
      <c r="BAM4" s="132"/>
      <c r="BAN4" s="132"/>
      <c r="BAO4" s="132"/>
      <c r="BAP4" s="132"/>
      <c r="BAQ4" s="132"/>
      <c r="BAR4" s="132"/>
      <c r="BAS4" s="132"/>
      <c r="BAT4" s="132"/>
      <c r="BAU4" s="132"/>
      <c r="BAV4" s="132"/>
      <c r="BAW4" s="132"/>
      <c r="BAX4" s="132"/>
      <c r="BAY4" s="132"/>
      <c r="BAZ4" s="132"/>
      <c r="BBA4" s="132"/>
      <c r="BBB4" s="132"/>
      <c r="BBC4" s="132"/>
      <c r="BBD4" s="132"/>
      <c r="BBE4" s="132"/>
      <c r="BBF4" s="132"/>
      <c r="BBG4" s="132"/>
      <c r="BBH4" s="132"/>
      <c r="BBI4" s="132"/>
      <c r="BBJ4" s="132"/>
      <c r="BBK4" s="132"/>
      <c r="BBL4" s="132"/>
      <c r="BBM4" s="132"/>
      <c r="BBN4" s="132"/>
      <c r="BBO4" s="132"/>
      <c r="BBP4" s="132"/>
      <c r="BBQ4" s="132"/>
      <c r="BBR4" s="132"/>
      <c r="BBS4" s="132"/>
      <c r="BBT4" s="132"/>
      <c r="BBU4" s="132"/>
      <c r="BBV4" s="132"/>
      <c r="BBW4" s="132"/>
      <c r="BBX4" s="132"/>
      <c r="BBY4" s="132"/>
      <c r="BBZ4" s="132"/>
      <c r="BCA4" s="132"/>
      <c r="BCB4" s="132"/>
      <c r="BCC4" s="132"/>
      <c r="BCD4" s="132"/>
      <c r="BCE4" s="132"/>
      <c r="BCF4" s="132"/>
      <c r="BCG4" s="132"/>
      <c r="BCH4" s="132"/>
      <c r="BCI4" s="132"/>
      <c r="BCJ4" s="132"/>
      <c r="BCK4" s="132"/>
      <c r="BCL4" s="132"/>
      <c r="BCM4" s="132"/>
      <c r="BCN4" s="132"/>
      <c r="BCO4" s="132"/>
      <c r="BCP4" s="132"/>
      <c r="BCQ4" s="132"/>
      <c r="BCR4" s="132"/>
      <c r="BCS4" s="132"/>
      <c r="BCT4" s="132"/>
      <c r="BCU4" s="132"/>
      <c r="BCV4" s="132"/>
      <c r="BCW4" s="132"/>
      <c r="BCX4" s="132"/>
      <c r="BCY4" s="132"/>
      <c r="BCZ4" s="132"/>
      <c r="BDA4" s="132"/>
      <c r="BDB4" s="132"/>
      <c r="BDC4" s="132"/>
      <c r="BDD4" s="132"/>
      <c r="BDE4" s="132"/>
      <c r="BDF4" s="132"/>
      <c r="BDG4" s="132"/>
      <c r="BDH4" s="132"/>
      <c r="BDI4" s="132"/>
      <c r="BDJ4" s="132"/>
      <c r="BDK4" s="132"/>
      <c r="BDL4" s="132"/>
      <c r="BDM4" s="132"/>
      <c r="BDN4" s="132"/>
      <c r="BDO4" s="132"/>
      <c r="BDP4" s="132"/>
      <c r="BDQ4" s="132"/>
      <c r="BDR4" s="132"/>
      <c r="BDS4" s="132"/>
      <c r="BDT4" s="132"/>
      <c r="BDU4" s="132"/>
      <c r="BDV4" s="132"/>
      <c r="BDW4" s="132"/>
      <c r="BDX4" s="132"/>
      <c r="BDY4" s="132"/>
      <c r="BDZ4" s="132"/>
      <c r="BEA4" s="132"/>
      <c r="BEB4" s="132"/>
      <c r="BEC4" s="132"/>
      <c r="BED4" s="132"/>
      <c r="BEE4" s="132"/>
      <c r="BEF4" s="132"/>
      <c r="BEG4" s="132"/>
      <c r="BEH4" s="132"/>
      <c r="BEI4" s="132"/>
      <c r="BEJ4" s="132"/>
      <c r="BEK4" s="132"/>
      <c r="BEL4" s="132"/>
      <c r="BEM4" s="132"/>
      <c r="BEN4" s="132"/>
      <c r="BEO4" s="132"/>
      <c r="BEP4" s="132"/>
      <c r="BEQ4" s="132"/>
      <c r="BER4" s="132"/>
      <c r="BES4" s="132"/>
      <c r="BET4" s="132"/>
      <c r="BEU4" s="132"/>
      <c r="BEV4" s="132"/>
      <c r="BEW4" s="132"/>
      <c r="BEX4" s="132"/>
      <c r="BEY4" s="132"/>
      <c r="BEZ4" s="132"/>
      <c r="BFA4" s="132"/>
      <c r="BFB4" s="132"/>
      <c r="BFC4" s="132"/>
      <c r="BFD4" s="132"/>
      <c r="BFE4" s="132"/>
      <c r="BFF4" s="132"/>
      <c r="BFG4" s="132"/>
      <c r="BFH4" s="132"/>
      <c r="BFI4" s="132"/>
      <c r="BFJ4" s="132"/>
      <c r="BFK4" s="132"/>
      <c r="BFL4" s="132"/>
      <c r="BFM4" s="132"/>
      <c r="BFN4" s="132"/>
      <c r="BFO4" s="132"/>
      <c r="BFP4" s="132"/>
      <c r="BFQ4" s="132"/>
      <c r="BFR4" s="132"/>
      <c r="BFS4" s="132"/>
      <c r="BFT4" s="132"/>
      <c r="BFU4" s="132"/>
      <c r="BFV4" s="132"/>
      <c r="BFW4" s="132"/>
      <c r="BFX4" s="132"/>
      <c r="BFY4" s="132"/>
      <c r="BFZ4" s="132"/>
      <c r="BGA4" s="132"/>
      <c r="BGB4" s="132"/>
      <c r="BGC4" s="132"/>
      <c r="BGD4" s="132"/>
      <c r="BGE4" s="132"/>
      <c r="BGF4" s="132"/>
      <c r="BGG4" s="132"/>
      <c r="BGH4" s="132"/>
      <c r="BGI4" s="132"/>
      <c r="BGJ4" s="132"/>
      <c r="BGK4" s="132"/>
      <c r="BGL4" s="132"/>
      <c r="BGM4" s="132"/>
      <c r="BGN4" s="132"/>
      <c r="BGO4" s="132"/>
      <c r="BGP4" s="132"/>
      <c r="BGQ4" s="132"/>
      <c r="BGR4" s="132"/>
      <c r="BGS4" s="132"/>
      <c r="BGT4" s="132"/>
      <c r="BGU4" s="132"/>
      <c r="BGV4" s="132"/>
      <c r="BGW4" s="132"/>
      <c r="BGX4" s="132"/>
      <c r="BGY4" s="132"/>
      <c r="BGZ4" s="132"/>
      <c r="BHA4" s="132"/>
      <c r="BHB4" s="132"/>
      <c r="BHC4" s="132"/>
      <c r="BHD4" s="132"/>
      <c r="BHE4" s="132"/>
      <c r="BHF4" s="132"/>
      <c r="BHG4" s="132"/>
      <c r="BHH4" s="132"/>
      <c r="BHI4" s="132"/>
      <c r="BHJ4" s="132"/>
      <c r="BHK4" s="132"/>
      <c r="BHL4" s="132"/>
      <c r="BHM4" s="132"/>
      <c r="BHN4" s="132"/>
      <c r="BHO4" s="132"/>
      <c r="BHP4" s="132"/>
      <c r="BHQ4" s="132"/>
      <c r="BHR4" s="132"/>
      <c r="BHS4" s="132"/>
      <c r="BHT4" s="132"/>
      <c r="BHU4" s="132"/>
      <c r="BHV4" s="132"/>
      <c r="BHW4" s="132"/>
      <c r="BHX4" s="132"/>
      <c r="BHY4" s="132"/>
      <c r="BHZ4" s="132"/>
      <c r="BIA4" s="132"/>
      <c r="BIB4" s="132"/>
      <c r="BIC4" s="132"/>
      <c r="BID4" s="132"/>
      <c r="BIE4" s="132"/>
      <c r="BIF4" s="132"/>
      <c r="BIG4" s="132"/>
      <c r="BIH4" s="132"/>
      <c r="BII4" s="132"/>
      <c r="BIJ4" s="132"/>
      <c r="BIK4" s="132"/>
      <c r="BIL4" s="132"/>
      <c r="BIM4" s="132"/>
      <c r="BIN4" s="132"/>
      <c r="BIO4" s="132"/>
      <c r="BIP4" s="132"/>
      <c r="BIQ4" s="132"/>
      <c r="BIR4" s="132"/>
      <c r="BIS4" s="132"/>
      <c r="BIT4" s="132"/>
      <c r="BIU4" s="132"/>
      <c r="BIV4" s="132"/>
      <c r="BIW4" s="132"/>
      <c r="BIX4" s="132"/>
      <c r="BIY4" s="132"/>
      <c r="BIZ4" s="132"/>
      <c r="BJA4" s="132"/>
      <c r="BJB4" s="132"/>
      <c r="BJC4" s="132"/>
      <c r="BJD4" s="132"/>
      <c r="BJE4" s="132"/>
      <c r="BJF4" s="132"/>
      <c r="BJG4" s="132"/>
      <c r="BJH4" s="132"/>
      <c r="BJI4" s="132"/>
      <c r="BJJ4" s="132"/>
      <c r="BJK4" s="132"/>
      <c r="BJL4" s="132"/>
      <c r="BJM4" s="132"/>
      <c r="BJN4" s="132"/>
      <c r="BJO4" s="132"/>
      <c r="BJP4" s="132"/>
      <c r="BJQ4" s="132"/>
      <c r="BJR4" s="132"/>
      <c r="BJS4" s="132"/>
      <c r="BJT4" s="132"/>
      <c r="BJU4" s="132"/>
      <c r="BJV4" s="132"/>
      <c r="BJW4" s="132"/>
      <c r="BJX4" s="132"/>
      <c r="BJY4" s="132"/>
      <c r="BJZ4" s="132"/>
      <c r="BKA4" s="132"/>
      <c r="BKB4" s="132"/>
      <c r="BKC4" s="132"/>
      <c r="BKD4" s="132"/>
      <c r="BKE4" s="132"/>
      <c r="BKF4" s="132"/>
      <c r="BKG4" s="132"/>
      <c r="BKH4" s="132"/>
      <c r="BKI4" s="132"/>
      <c r="BKJ4" s="132"/>
      <c r="BKK4" s="132"/>
      <c r="BKL4" s="132"/>
      <c r="BKM4" s="132"/>
      <c r="BKN4" s="132"/>
      <c r="BKO4" s="132"/>
      <c r="BKP4" s="132"/>
      <c r="BKQ4" s="132"/>
      <c r="BKR4" s="132"/>
      <c r="BKS4" s="132"/>
      <c r="BKT4" s="132"/>
      <c r="BKU4" s="132"/>
      <c r="BKV4" s="132"/>
      <c r="BKW4" s="132"/>
      <c r="BKX4" s="132"/>
      <c r="BKY4" s="132"/>
      <c r="BKZ4" s="132"/>
      <c r="BLA4" s="132"/>
      <c r="BLB4" s="132"/>
      <c r="BLC4" s="132"/>
      <c r="BLD4" s="132"/>
      <c r="BLE4" s="132"/>
      <c r="BLF4" s="132"/>
      <c r="BLG4" s="132"/>
      <c r="BLH4" s="132"/>
      <c r="BLI4" s="132"/>
      <c r="BLJ4" s="132"/>
      <c r="BLK4" s="132"/>
      <c r="BLL4" s="132"/>
      <c r="BLM4" s="132"/>
      <c r="BLN4" s="132"/>
      <c r="BLO4" s="132"/>
      <c r="BLP4" s="132"/>
      <c r="BLQ4" s="132"/>
      <c r="BLR4" s="132"/>
      <c r="BLS4" s="132"/>
      <c r="BLT4" s="132"/>
      <c r="BLU4" s="132"/>
      <c r="BLV4" s="132"/>
      <c r="BLW4" s="132"/>
      <c r="BLX4" s="132"/>
      <c r="BLY4" s="132"/>
      <c r="BLZ4" s="132"/>
      <c r="BMA4" s="132"/>
      <c r="BMB4" s="132"/>
      <c r="BMC4" s="132"/>
      <c r="BMD4" s="132"/>
      <c r="BME4" s="132"/>
      <c r="BMF4" s="132"/>
      <c r="BMG4" s="132"/>
      <c r="BMH4" s="132"/>
      <c r="BMI4" s="132"/>
      <c r="BMJ4" s="132"/>
      <c r="BMK4" s="132"/>
      <c r="BML4" s="132"/>
      <c r="BMM4" s="132"/>
      <c r="BMN4" s="132"/>
      <c r="BMO4" s="132"/>
      <c r="BMP4" s="132"/>
      <c r="BMQ4" s="132"/>
      <c r="BMR4" s="132"/>
      <c r="BMS4" s="132"/>
      <c r="BMT4" s="132"/>
      <c r="BMU4" s="132"/>
      <c r="BMV4" s="132"/>
      <c r="BMW4" s="132"/>
      <c r="BMX4" s="132"/>
      <c r="BMY4" s="132"/>
      <c r="BMZ4" s="132"/>
      <c r="BNA4" s="132"/>
      <c r="BNB4" s="132"/>
      <c r="BNC4" s="132"/>
      <c r="BND4" s="132"/>
      <c r="BNE4" s="132"/>
      <c r="BNF4" s="132"/>
      <c r="BNG4" s="132"/>
      <c r="BNH4" s="132"/>
      <c r="BNI4" s="132"/>
      <c r="BNJ4" s="132"/>
      <c r="BNK4" s="132"/>
      <c r="BNL4" s="132"/>
      <c r="BNM4" s="132"/>
      <c r="BNN4" s="132"/>
      <c r="BNO4" s="132"/>
      <c r="BNP4" s="132"/>
      <c r="BNQ4" s="132"/>
      <c r="BNR4" s="132"/>
      <c r="BNS4" s="132"/>
      <c r="BNT4" s="132"/>
      <c r="BNU4" s="132"/>
      <c r="BNV4" s="132"/>
      <c r="BNW4" s="132"/>
      <c r="BNX4" s="132"/>
      <c r="BNY4" s="132"/>
      <c r="BNZ4" s="132"/>
      <c r="BOA4" s="132"/>
      <c r="BOB4" s="132"/>
      <c r="BOC4" s="132"/>
      <c r="BOD4" s="132"/>
      <c r="BOE4" s="132"/>
      <c r="BOF4" s="132"/>
      <c r="BOG4" s="132"/>
      <c r="BOH4" s="132"/>
      <c r="BOI4" s="132"/>
      <c r="BOJ4" s="132"/>
      <c r="BOK4" s="132"/>
      <c r="BOL4" s="132"/>
      <c r="BOM4" s="132"/>
      <c r="BON4" s="132"/>
      <c r="BOO4" s="132"/>
      <c r="BOP4" s="132"/>
      <c r="BOQ4" s="132"/>
      <c r="BOR4" s="132"/>
      <c r="BOS4" s="132"/>
      <c r="BOT4" s="132"/>
      <c r="BOU4" s="132"/>
      <c r="BOV4" s="132"/>
      <c r="BOW4" s="132"/>
      <c r="BOX4" s="132"/>
      <c r="BOY4" s="132"/>
      <c r="BOZ4" s="132"/>
      <c r="BPA4" s="132"/>
      <c r="BPB4" s="132"/>
      <c r="BPC4" s="132"/>
      <c r="BPD4" s="132"/>
      <c r="BPE4" s="132"/>
      <c r="BPF4" s="132"/>
      <c r="BPG4" s="132"/>
      <c r="BPH4" s="132"/>
      <c r="BPI4" s="132"/>
      <c r="BPJ4" s="132"/>
      <c r="BPK4" s="132"/>
      <c r="BPL4" s="132"/>
      <c r="BPM4" s="132"/>
      <c r="BPN4" s="132"/>
      <c r="BPO4" s="132"/>
      <c r="BPP4" s="132"/>
      <c r="BPQ4" s="132"/>
      <c r="BPR4" s="132"/>
      <c r="BPS4" s="132"/>
      <c r="BPT4" s="132"/>
      <c r="BPU4" s="132"/>
      <c r="BPV4" s="132"/>
      <c r="BPW4" s="132"/>
      <c r="BPX4" s="132"/>
      <c r="BPY4" s="132"/>
      <c r="BPZ4" s="132"/>
      <c r="BQA4" s="132"/>
      <c r="BQB4" s="132"/>
      <c r="BQC4" s="132"/>
      <c r="BQD4" s="132"/>
      <c r="BQE4" s="132"/>
      <c r="BQF4" s="132"/>
      <c r="BQG4" s="132"/>
      <c r="BQH4" s="132"/>
      <c r="BQI4" s="132"/>
      <c r="BQJ4" s="132"/>
      <c r="BQK4" s="132"/>
      <c r="BQL4" s="132"/>
      <c r="BQM4" s="132"/>
      <c r="BQN4" s="132"/>
      <c r="BQO4" s="132"/>
      <c r="BQP4" s="132"/>
      <c r="BQQ4" s="132"/>
      <c r="BQR4" s="132"/>
      <c r="BQS4" s="132"/>
      <c r="BQT4" s="132"/>
      <c r="BQU4" s="132"/>
      <c r="BQV4" s="132"/>
      <c r="BQW4" s="132"/>
      <c r="BQX4" s="132"/>
      <c r="BQY4" s="132"/>
      <c r="BQZ4" s="132"/>
      <c r="BRA4" s="132"/>
      <c r="BRB4" s="132"/>
      <c r="BRC4" s="132"/>
      <c r="BRD4" s="132"/>
      <c r="BRE4" s="132"/>
      <c r="BRF4" s="132"/>
      <c r="BRG4" s="132"/>
      <c r="BRH4" s="132"/>
      <c r="BRI4" s="132"/>
      <c r="BRJ4" s="132"/>
      <c r="BRK4" s="132"/>
      <c r="BRL4" s="132"/>
      <c r="BRM4" s="132"/>
      <c r="BRN4" s="132"/>
      <c r="BRO4" s="132"/>
      <c r="BRP4" s="132"/>
      <c r="BRQ4" s="132"/>
      <c r="BRR4" s="132"/>
      <c r="BRS4" s="132"/>
      <c r="BRT4" s="132"/>
      <c r="BRU4" s="132"/>
      <c r="BRV4" s="132"/>
      <c r="BRW4" s="132"/>
      <c r="BRX4" s="132"/>
      <c r="BRY4" s="132"/>
      <c r="BRZ4" s="132"/>
      <c r="BSA4" s="132"/>
      <c r="BSB4" s="132"/>
      <c r="BSC4" s="132"/>
      <c r="BSD4" s="132"/>
      <c r="BSE4" s="132"/>
      <c r="BSF4" s="132"/>
      <c r="BSG4" s="132"/>
      <c r="BSH4" s="132"/>
      <c r="BSI4" s="132"/>
      <c r="BSJ4" s="132"/>
      <c r="BSK4" s="132"/>
      <c r="BSL4" s="132"/>
      <c r="BSM4" s="132"/>
      <c r="BSN4" s="132"/>
      <c r="BSO4" s="132"/>
      <c r="BSP4" s="132"/>
      <c r="BSQ4" s="132"/>
      <c r="BSR4" s="132"/>
      <c r="BSS4" s="132"/>
      <c r="BST4" s="132"/>
      <c r="BSU4" s="132"/>
      <c r="BSV4" s="132"/>
      <c r="BSW4" s="132"/>
      <c r="BSX4" s="132"/>
      <c r="BSY4" s="132"/>
      <c r="BSZ4" s="132"/>
      <c r="BTA4" s="132"/>
      <c r="BTB4" s="132"/>
      <c r="BTC4" s="132"/>
      <c r="BTD4" s="132"/>
      <c r="BTE4" s="132"/>
      <c r="BTF4" s="132"/>
      <c r="BTG4" s="132"/>
      <c r="BTH4" s="132"/>
      <c r="BTI4" s="132"/>
      <c r="BTJ4" s="132"/>
      <c r="BTK4" s="132"/>
      <c r="BTL4" s="132"/>
      <c r="BTM4" s="132"/>
      <c r="BTN4" s="132"/>
      <c r="BTO4" s="132"/>
      <c r="BTP4" s="132"/>
      <c r="BTQ4" s="132"/>
      <c r="BTR4" s="132"/>
      <c r="BTS4" s="132"/>
      <c r="BTT4" s="132"/>
      <c r="BTU4" s="132"/>
      <c r="BTV4" s="132"/>
      <c r="BTW4" s="132"/>
      <c r="BTX4" s="132"/>
      <c r="BTY4" s="132"/>
      <c r="BTZ4" s="132"/>
      <c r="BUA4" s="132"/>
      <c r="BUB4" s="132"/>
      <c r="BUC4" s="132"/>
      <c r="BUD4" s="132"/>
      <c r="BUE4" s="132"/>
      <c r="BUF4" s="132"/>
      <c r="BUG4" s="132"/>
      <c r="BUH4" s="132"/>
      <c r="BUI4" s="132"/>
      <c r="BUJ4" s="132"/>
      <c r="BUK4" s="132"/>
      <c r="BUL4" s="132"/>
      <c r="BUM4" s="132"/>
      <c r="BUN4" s="132"/>
      <c r="BUO4" s="132"/>
      <c r="BUP4" s="132"/>
      <c r="BUQ4" s="132"/>
      <c r="BUR4" s="132"/>
      <c r="BUS4" s="132"/>
      <c r="BUT4" s="132"/>
      <c r="BUU4" s="132"/>
      <c r="BUV4" s="132"/>
      <c r="BUW4" s="132"/>
      <c r="BUX4" s="132"/>
      <c r="BUY4" s="132"/>
      <c r="BUZ4" s="132"/>
      <c r="BVA4" s="132"/>
      <c r="BVB4" s="132"/>
      <c r="BVC4" s="132"/>
      <c r="BVD4" s="132"/>
      <c r="BVE4" s="132"/>
      <c r="BVF4" s="132"/>
      <c r="BVG4" s="132"/>
      <c r="BVH4" s="132"/>
      <c r="BVI4" s="132"/>
      <c r="BVJ4" s="132"/>
      <c r="BVK4" s="132"/>
      <c r="BVL4" s="132"/>
      <c r="BVM4" s="132"/>
      <c r="BVN4" s="132"/>
      <c r="BVO4" s="132"/>
      <c r="BVP4" s="132"/>
      <c r="BVQ4" s="132"/>
      <c r="BVR4" s="132"/>
      <c r="BVS4" s="132"/>
      <c r="BVT4" s="132"/>
      <c r="BVU4" s="132"/>
      <c r="BVV4" s="132"/>
      <c r="BVW4" s="132"/>
      <c r="BVX4" s="132"/>
      <c r="BVY4" s="132"/>
      <c r="BVZ4" s="132"/>
      <c r="BWA4" s="132"/>
      <c r="BWB4" s="132"/>
      <c r="BWC4" s="132"/>
      <c r="BWD4" s="132"/>
      <c r="BWE4" s="132"/>
      <c r="BWF4" s="132"/>
      <c r="BWG4" s="132"/>
      <c r="BWH4" s="132"/>
      <c r="BWI4" s="132"/>
      <c r="BWJ4" s="132"/>
      <c r="BWK4" s="132"/>
      <c r="BWL4" s="132"/>
      <c r="BWM4" s="132"/>
      <c r="BWN4" s="132"/>
      <c r="BWO4" s="132"/>
      <c r="BWP4" s="132"/>
      <c r="BWQ4" s="132"/>
      <c r="BWR4" s="132"/>
      <c r="BWS4" s="132"/>
      <c r="BWT4" s="132"/>
      <c r="BWU4" s="132"/>
      <c r="BWV4" s="132"/>
      <c r="BWW4" s="132"/>
      <c r="BWX4" s="132"/>
      <c r="BWY4" s="132"/>
      <c r="BWZ4" s="132"/>
      <c r="BXA4" s="132"/>
      <c r="BXB4" s="132"/>
      <c r="BXC4" s="132"/>
      <c r="BXD4" s="132"/>
      <c r="BXE4" s="132"/>
      <c r="BXF4" s="132"/>
      <c r="BXG4" s="132"/>
      <c r="BXH4" s="132"/>
      <c r="BXI4" s="132"/>
      <c r="BXJ4" s="132"/>
      <c r="BXK4" s="132"/>
      <c r="BXL4" s="132"/>
      <c r="BXM4" s="132"/>
      <c r="BXN4" s="132"/>
      <c r="BXO4" s="132"/>
      <c r="BXP4" s="132"/>
      <c r="BXQ4" s="132"/>
      <c r="BXR4" s="132"/>
      <c r="BXS4" s="132"/>
      <c r="BXT4" s="132"/>
      <c r="BXU4" s="132"/>
      <c r="BXV4" s="132"/>
      <c r="BXW4" s="132"/>
      <c r="BXX4" s="132"/>
      <c r="BXY4" s="132"/>
      <c r="BXZ4" s="132"/>
      <c r="BYA4" s="132"/>
      <c r="BYB4" s="132"/>
      <c r="BYC4" s="132"/>
      <c r="BYD4" s="132"/>
      <c r="BYE4" s="132"/>
      <c r="BYF4" s="132"/>
      <c r="BYG4" s="132"/>
      <c r="BYH4" s="132"/>
      <c r="BYI4" s="132"/>
      <c r="BYJ4" s="132"/>
      <c r="BYK4" s="132"/>
      <c r="BYL4" s="132"/>
      <c r="BYM4" s="132"/>
      <c r="BYN4" s="132"/>
      <c r="BYO4" s="132"/>
      <c r="BYP4" s="132"/>
      <c r="BYQ4" s="132"/>
      <c r="BYR4" s="132"/>
      <c r="BYS4" s="132"/>
      <c r="BYT4" s="132"/>
      <c r="BYU4" s="132"/>
      <c r="BYV4" s="132"/>
      <c r="BYW4" s="132"/>
      <c r="BYX4" s="132"/>
      <c r="BYY4" s="132"/>
      <c r="BYZ4" s="132"/>
      <c r="BZA4" s="132"/>
      <c r="BZB4" s="132"/>
      <c r="BZC4" s="132"/>
      <c r="BZD4" s="132"/>
      <c r="BZE4" s="132"/>
      <c r="BZF4" s="132"/>
      <c r="BZG4" s="132"/>
      <c r="BZH4" s="132"/>
      <c r="BZI4" s="132"/>
      <c r="BZJ4" s="132"/>
      <c r="BZK4" s="132"/>
      <c r="BZL4" s="132"/>
      <c r="BZM4" s="132"/>
      <c r="BZN4" s="132"/>
      <c r="BZO4" s="132"/>
      <c r="BZP4" s="132"/>
      <c r="BZQ4" s="132"/>
      <c r="BZR4" s="132"/>
      <c r="BZS4" s="132"/>
      <c r="BZT4" s="132"/>
      <c r="BZU4" s="132"/>
      <c r="BZV4" s="132"/>
      <c r="BZW4" s="132"/>
      <c r="BZX4" s="132"/>
      <c r="BZY4" s="132"/>
      <c r="BZZ4" s="132"/>
      <c r="CAA4" s="132"/>
      <c r="CAB4" s="132"/>
      <c r="CAC4" s="132"/>
      <c r="CAD4" s="132"/>
      <c r="CAE4" s="132"/>
      <c r="CAF4" s="132"/>
      <c r="CAG4" s="132"/>
      <c r="CAH4" s="132"/>
      <c r="CAI4" s="132"/>
      <c r="CAJ4" s="132"/>
      <c r="CAK4" s="132"/>
      <c r="CAL4" s="132"/>
      <c r="CAM4" s="132"/>
      <c r="CAN4" s="132"/>
      <c r="CAO4" s="132"/>
      <c r="CAP4" s="132"/>
      <c r="CAQ4" s="132"/>
      <c r="CAR4" s="132"/>
      <c r="CAS4" s="132"/>
      <c r="CAT4" s="132"/>
      <c r="CAU4" s="132"/>
      <c r="CAV4" s="132"/>
      <c r="CAW4" s="132"/>
      <c r="CAX4" s="132"/>
      <c r="CAY4" s="132"/>
      <c r="CAZ4" s="132"/>
      <c r="CBA4" s="132"/>
      <c r="CBB4" s="132"/>
      <c r="CBC4" s="132"/>
      <c r="CBD4" s="132"/>
      <c r="CBE4" s="132"/>
      <c r="CBF4" s="132"/>
      <c r="CBG4" s="132"/>
      <c r="CBH4" s="132"/>
      <c r="CBI4" s="132"/>
      <c r="CBJ4" s="132"/>
      <c r="CBK4" s="132"/>
      <c r="CBL4" s="132"/>
      <c r="CBM4" s="132"/>
      <c r="CBN4" s="132"/>
      <c r="CBO4" s="132"/>
      <c r="CBP4" s="132"/>
      <c r="CBQ4" s="132"/>
      <c r="CBR4" s="132"/>
      <c r="CBS4" s="132"/>
      <c r="CBT4" s="132"/>
      <c r="CBU4" s="132"/>
      <c r="CBV4" s="132"/>
      <c r="CBW4" s="132"/>
      <c r="CBX4" s="132"/>
      <c r="CBY4" s="132"/>
      <c r="CBZ4" s="132"/>
      <c r="CCA4" s="132"/>
      <c r="CCB4" s="132"/>
      <c r="CCC4" s="132"/>
      <c r="CCD4" s="132"/>
      <c r="CCE4" s="132"/>
      <c r="CCF4" s="132"/>
      <c r="CCG4" s="132"/>
      <c r="CCH4" s="132"/>
      <c r="CCI4" s="132"/>
      <c r="CCJ4" s="132"/>
      <c r="CCK4" s="132"/>
      <c r="CCL4" s="132"/>
      <c r="CCM4" s="132"/>
      <c r="CCN4" s="132"/>
      <c r="CCO4" s="132"/>
      <c r="CCP4" s="132"/>
      <c r="CCQ4" s="132"/>
      <c r="CCR4" s="132"/>
      <c r="CCS4" s="132"/>
      <c r="CCT4" s="132"/>
      <c r="CCU4" s="132"/>
      <c r="CCV4" s="132"/>
      <c r="CCW4" s="132"/>
      <c r="CCX4" s="132"/>
      <c r="CCY4" s="132"/>
      <c r="CCZ4" s="132"/>
      <c r="CDA4" s="132"/>
      <c r="CDB4" s="132"/>
      <c r="CDC4" s="132"/>
      <c r="CDD4" s="132"/>
      <c r="CDE4" s="132"/>
      <c r="CDF4" s="132"/>
      <c r="CDG4" s="132"/>
      <c r="CDH4" s="132"/>
      <c r="CDI4" s="132"/>
      <c r="CDJ4" s="132"/>
      <c r="CDK4" s="132"/>
      <c r="CDL4" s="132"/>
      <c r="CDM4" s="132"/>
      <c r="CDN4" s="132"/>
      <c r="CDO4" s="132"/>
      <c r="CDP4" s="132"/>
      <c r="CDQ4" s="132"/>
      <c r="CDR4" s="132"/>
      <c r="CDS4" s="132"/>
      <c r="CDT4" s="132"/>
      <c r="CDU4" s="132"/>
      <c r="CDV4" s="132"/>
      <c r="CDW4" s="132"/>
      <c r="CDX4" s="132"/>
      <c r="CDY4" s="132"/>
      <c r="CDZ4" s="132"/>
      <c r="CEA4" s="132"/>
      <c r="CEB4" s="132"/>
      <c r="CEC4" s="132"/>
      <c r="CED4" s="132"/>
      <c r="CEE4" s="132"/>
      <c r="CEF4" s="132"/>
      <c r="CEG4" s="132"/>
      <c r="CEH4" s="132"/>
      <c r="CEI4" s="132"/>
      <c r="CEJ4" s="132"/>
      <c r="CEK4" s="132"/>
      <c r="CEL4" s="132"/>
      <c r="CEM4" s="132"/>
      <c r="CEN4" s="132"/>
      <c r="CEO4" s="132"/>
      <c r="CEP4" s="132"/>
      <c r="CEQ4" s="132"/>
      <c r="CER4" s="132"/>
      <c r="CES4" s="132"/>
      <c r="CET4" s="132"/>
      <c r="CEU4" s="132"/>
      <c r="CEV4" s="132"/>
      <c r="CEW4" s="132"/>
      <c r="CEX4" s="132"/>
      <c r="CEY4" s="132"/>
      <c r="CEZ4" s="132"/>
      <c r="CFA4" s="132"/>
      <c r="CFB4" s="132"/>
      <c r="CFC4" s="132"/>
      <c r="CFD4" s="132"/>
      <c r="CFE4" s="132"/>
      <c r="CFF4" s="132"/>
      <c r="CFG4" s="132"/>
      <c r="CFH4" s="132"/>
      <c r="CFI4" s="132"/>
      <c r="CFJ4" s="132"/>
      <c r="CFK4" s="132"/>
      <c r="CFL4" s="132"/>
      <c r="CFM4" s="132"/>
      <c r="CFN4" s="132"/>
      <c r="CFO4" s="132"/>
      <c r="CFP4" s="132"/>
      <c r="CFQ4" s="132"/>
      <c r="CFR4" s="132"/>
      <c r="CFS4" s="132"/>
      <c r="CFT4" s="132"/>
      <c r="CFU4" s="132"/>
      <c r="CFV4" s="132"/>
      <c r="CFW4" s="132"/>
      <c r="CFX4" s="132"/>
      <c r="CFY4" s="132"/>
      <c r="CFZ4" s="132"/>
      <c r="CGA4" s="132"/>
      <c r="CGB4" s="132"/>
      <c r="CGC4" s="132"/>
      <c r="CGD4" s="132"/>
      <c r="CGE4" s="132"/>
      <c r="CGF4" s="132"/>
      <c r="CGG4" s="132"/>
      <c r="CGH4" s="132"/>
      <c r="CGI4" s="132"/>
      <c r="CGJ4" s="132"/>
      <c r="CGK4" s="132"/>
      <c r="CGL4" s="132"/>
      <c r="CGM4" s="132"/>
      <c r="CGN4" s="132"/>
      <c r="CGO4" s="132"/>
      <c r="CGP4" s="132"/>
      <c r="CGQ4" s="132"/>
      <c r="CGR4" s="132"/>
      <c r="CGS4" s="132"/>
      <c r="CGT4" s="132"/>
      <c r="CGU4" s="132"/>
      <c r="CGV4" s="132"/>
      <c r="CGW4" s="132"/>
      <c r="CGX4" s="132"/>
      <c r="CGY4" s="132"/>
      <c r="CGZ4" s="132"/>
      <c r="CHA4" s="132"/>
      <c r="CHB4" s="132"/>
      <c r="CHC4" s="132"/>
      <c r="CHD4" s="132"/>
      <c r="CHE4" s="132"/>
      <c r="CHF4" s="132"/>
      <c r="CHG4" s="132"/>
      <c r="CHH4" s="132"/>
      <c r="CHI4" s="132"/>
      <c r="CHJ4" s="132"/>
      <c r="CHK4" s="132"/>
      <c r="CHL4" s="132"/>
      <c r="CHM4" s="132"/>
      <c r="CHN4" s="132"/>
      <c r="CHO4" s="132"/>
      <c r="CHP4" s="132"/>
      <c r="CHQ4" s="132"/>
      <c r="CHR4" s="132"/>
      <c r="CHS4" s="132"/>
      <c r="CHT4" s="132"/>
      <c r="CHU4" s="132"/>
      <c r="CHV4" s="132"/>
      <c r="CHW4" s="132"/>
      <c r="CHX4" s="132"/>
      <c r="CHY4" s="132"/>
      <c r="CHZ4" s="132"/>
      <c r="CIA4" s="132"/>
      <c r="CIB4" s="132"/>
      <c r="CIC4" s="132"/>
      <c r="CID4" s="132"/>
      <c r="CIE4" s="132"/>
      <c r="CIF4" s="132"/>
      <c r="CIG4" s="132"/>
      <c r="CIH4" s="132"/>
      <c r="CII4" s="132"/>
      <c r="CIJ4" s="132"/>
      <c r="CIK4" s="132"/>
      <c r="CIL4" s="132"/>
      <c r="CIM4" s="132"/>
      <c r="CIN4" s="132"/>
      <c r="CIO4" s="132"/>
      <c r="CIP4" s="132"/>
      <c r="CIQ4" s="132"/>
      <c r="CIR4" s="132"/>
      <c r="CIS4" s="132"/>
      <c r="CIT4" s="132"/>
      <c r="CIU4" s="132"/>
      <c r="CIV4" s="132"/>
      <c r="CIW4" s="132"/>
      <c r="CIX4" s="132"/>
      <c r="CIY4" s="132"/>
      <c r="CIZ4" s="132"/>
      <c r="CJA4" s="132"/>
      <c r="CJB4" s="132"/>
      <c r="CJC4" s="132"/>
      <c r="CJD4" s="132"/>
      <c r="CJE4" s="132"/>
      <c r="CJF4" s="132"/>
      <c r="CJG4" s="132"/>
      <c r="CJH4" s="132"/>
      <c r="CJI4" s="132"/>
      <c r="CJJ4" s="132"/>
      <c r="CJK4" s="132"/>
      <c r="CJL4" s="132"/>
      <c r="CJM4" s="132"/>
      <c r="CJN4" s="132"/>
      <c r="CJO4" s="132"/>
      <c r="CJP4" s="132"/>
      <c r="CJQ4" s="132"/>
      <c r="CJR4" s="132"/>
      <c r="CJS4" s="132"/>
      <c r="CJT4" s="132"/>
      <c r="CJU4" s="132"/>
      <c r="CJV4" s="132"/>
      <c r="CJW4" s="132"/>
      <c r="CJX4" s="132"/>
      <c r="CJY4" s="132"/>
      <c r="CJZ4" s="132"/>
      <c r="CKA4" s="132"/>
      <c r="CKB4" s="132"/>
      <c r="CKC4" s="132"/>
      <c r="CKD4" s="132"/>
      <c r="CKE4" s="132"/>
      <c r="CKF4" s="132"/>
      <c r="CKG4" s="132"/>
      <c r="CKH4" s="132"/>
      <c r="CKI4" s="132"/>
      <c r="CKJ4" s="132"/>
      <c r="CKK4" s="132"/>
      <c r="CKL4" s="132"/>
      <c r="CKM4" s="132"/>
      <c r="CKN4" s="132"/>
      <c r="CKO4" s="132"/>
      <c r="CKP4" s="132"/>
      <c r="CKQ4" s="132"/>
      <c r="CKR4" s="132"/>
      <c r="CKS4" s="132"/>
      <c r="CKT4" s="132"/>
      <c r="CKU4" s="132"/>
      <c r="CKV4" s="132"/>
      <c r="CKW4" s="132"/>
      <c r="CKX4" s="132"/>
      <c r="CKY4" s="132"/>
      <c r="CKZ4" s="132"/>
      <c r="CLA4" s="132"/>
      <c r="CLB4" s="132"/>
      <c r="CLC4" s="132"/>
      <c r="CLD4" s="132"/>
      <c r="CLE4" s="132"/>
      <c r="CLF4" s="132"/>
      <c r="CLG4" s="132"/>
      <c r="CLH4" s="132"/>
      <c r="CLI4" s="132"/>
      <c r="CLJ4" s="132"/>
      <c r="CLK4" s="132"/>
      <c r="CLL4" s="132"/>
      <c r="CLM4" s="132"/>
      <c r="CLN4" s="132"/>
      <c r="CLO4" s="132"/>
      <c r="CLP4" s="132"/>
      <c r="CLQ4" s="132"/>
      <c r="CLR4" s="132"/>
      <c r="CLS4" s="132"/>
      <c r="CLT4" s="132"/>
      <c r="CLU4" s="132"/>
      <c r="CLV4" s="132"/>
      <c r="CLW4" s="132"/>
      <c r="CLX4" s="132"/>
      <c r="CLY4" s="132"/>
      <c r="CLZ4" s="132"/>
      <c r="CMA4" s="132"/>
      <c r="CMB4" s="132"/>
      <c r="CMC4" s="132"/>
      <c r="CMD4" s="132"/>
      <c r="CME4" s="132"/>
      <c r="CMF4" s="132"/>
      <c r="CMG4" s="132"/>
      <c r="CMH4" s="132"/>
      <c r="CMI4" s="132"/>
      <c r="CMJ4" s="132"/>
      <c r="CMK4" s="132"/>
      <c r="CML4" s="132"/>
      <c r="CMM4" s="132"/>
      <c r="CMN4" s="132"/>
      <c r="CMO4" s="132"/>
      <c r="CMP4" s="132"/>
      <c r="CMQ4" s="132"/>
      <c r="CMR4" s="132"/>
      <c r="CMS4" s="132"/>
      <c r="CMT4" s="132"/>
      <c r="CMU4" s="132"/>
      <c r="CMV4" s="132"/>
      <c r="CMW4" s="132"/>
      <c r="CMX4" s="132"/>
      <c r="CMY4" s="132"/>
      <c r="CMZ4" s="132"/>
      <c r="CNA4" s="132"/>
      <c r="CNB4" s="132"/>
      <c r="CNC4" s="132"/>
      <c r="CND4" s="132"/>
      <c r="CNE4" s="132"/>
      <c r="CNF4" s="132"/>
      <c r="CNG4" s="132"/>
      <c r="CNH4" s="132"/>
      <c r="CNI4" s="132"/>
      <c r="CNJ4" s="132"/>
      <c r="CNK4" s="132"/>
      <c r="CNL4" s="132"/>
      <c r="CNM4" s="132"/>
      <c r="CNN4" s="132"/>
      <c r="CNO4" s="132"/>
      <c r="CNP4" s="132"/>
      <c r="CNQ4" s="132"/>
      <c r="CNR4" s="132"/>
      <c r="CNS4" s="132"/>
      <c r="CNT4" s="132"/>
      <c r="CNU4" s="132"/>
      <c r="CNV4" s="132"/>
      <c r="CNW4" s="132"/>
      <c r="CNX4" s="132"/>
      <c r="CNY4" s="132"/>
      <c r="CNZ4" s="132"/>
      <c r="COA4" s="132"/>
      <c r="COB4" s="132"/>
      <c r="COC4" s="132"/>
      <c r="COD4" s="132"/>
      <c r="COE4" s="132"/>
      <c r="COF4" s="132"/>
      <c r="COG4" s="132"/>
      <c r="COH4" s="132"/>
      <c r="COI4" s="132"/>
      <c r="COJ4" s="132"/>
      <c r="COK4" s="132"/>
      <c r="COL4" s="132"/>
      <c r="COM4" s="132"/>
      <c r="CON4" s="132"/>
      <c r="COO4" s="132"/>
      <c r="COP4" s="132"/>
      <c r="COQ4" s="132"/>
      <c r="COR4" s="132"/>
      <c r="COS4" s="132"/>
      <c r="COT4" s="132"/>
      <c r="COU4" s="132"/>
      <c r="COV4" s="132"/>
      <c r="COW4" s="132"/>
      <c r="COX4" s="132"/>
      <c r="COY4" s="132"/>
      <c r="COZ4" s="132"/>
      <c r="CPA4" s="132"/>
      <c r="CPB4" s="132"/>
      <c r="CPC4" s="132"/>
      <c r="CPD4" s="132"/>
      <c r="CPE4" s="132"/>
      <c r="CPF4" s="132"/>
      <c r="CPG4" s="132"/>
      <c r="CPH4" s="132"/>
      <c r="CPI4" s="132"/>
      <c r="CPJ4" s="132"/>
      <c r="CPK4" s="132"/>
      <c r="CPL4" s="132"/>
      <c r="CPM4" s="132"/>
      <c r="CPN4" s="132"/>
      <c r="CPO4" s="132"/>
      <c r="CPP4" s="132"/>
      <c r="CPQ4" s="132"/>
      <c r="CPR4" s="132"/>
      <c r="CPS4" s="132"/>
      <c r="CPT4" s="132"/>
      <c r="CPU4" s="132"/>
      <c r="CPV4" s="132"/>
      <c r="CPW4" s="132"/>
      <c r="CPX4" s="132"/>
      <c r="CPY4" s="132"/>
      <c r="CPZ4" s="132"/>
      <c r="CQA4" s="132"/>
      <c r="CQB4" s="132"/>
      <c r="CQC4" s="132"/>
      <c r="CQD4" s="132"/>
      <c r="CQE4" s="132"/>
      <c r="CQF4" s="132"/>
      <c r="CQG4" s="132"/>
      <c r="CQH4" s="132"/>
      <c r="CQI4" s="132"/>
      <c r="CQJ4" s="132"/>
      <c r="CQK4" s="132"/>
      <c r="CQL4" s="132"/>
      <c r="CQM4" s="132"/>
      <c r="CQN4" s="132"/>
      <c r="CQO4" s="132"/>
      <c r="CQP4" s="132"/>
      <c r="CQQ4" s="132"/>
      <c r="CQR4" s="132"/>
      <c r="CQS4" s="132"/>
      <c r="CQT4" s="132"/>
      <c r="CQU4" s="132"/>
      <c r="CQV4" s="132"/>
      <c r="CQW4" s="132"/>
      <c r="CQX4" s="132"/>
      <c r="CQY4" s="132"/>
      <c r="CQZ4" s="132"/>
      <c r="CRA4" s="132"/>
      <c r="CRB4" s="132"/>
      <c r="CRC4" s="132"/>
      <c r="CRD4" s="132"/>
      <c r="CRE4" s="132"/>
      <c r="CRF4" s="132"/>
      <c r="CRG4" s="132"/>
      <c r="CRH4" s="132"/>
      <c r="CRI4" s="132"/>
      <c r="CRJ4" s="132"/>
      <c r="CRK4" s="132"/>
      <c r="CRL4" s="132"/>
      <c r="CRM4" s="132"/>
      <c r="CRN4" s="132"/>
      <c r="CRO4" s="132"/>
      <c r="CRP4" s="132"/>
      <c r="CRQ4" s="132"/>
      <c r="CRR4" s="132"/>
      <c r="CRS4" s="132"/>
      <c r="CRT4" s="132"/>
      <c r="CRU4" s="132"/>
      <c r="CRV4" s="132"/>
      <c r="CRW4" s="132"/>
      <c r="CRX4" s="132"/>
      <c r="CRY4" s="132"/>
      <c r="CRZ4" s="132"/>
      <c r="CSA4" s="132"/>
      <c r="CSB4" s="132"/>
      <c r="CSC4" s="132"/>
      <c r="CSD4" s="132"/>
      <c r="CSE4" s="132"/>
      <c r="CSF4" s="132"/>
      <c r="CSG4" s="132"/>
      <c r="CSH4" s="132"/>
      <c r="CSI4" s="132"/>
      <c r="CSJ4" s="132"/>
      <c r="CSK4" s="132"/>
      <c r="CSL4" s="132"/>
      <c r="CSM4" s="132"/>
      <c r="CSN4" s="132"/>
      <c r="CSO4" s="132"/>
      <c r="CSP4" s="132"/>
      <c r="CSQ4" s="132"/>
      <c r="CSR4" s="132"/>
      <c r="CSS4" s="132"/>
      <c r="CST4" s="132"/>
      <c r="CSU4" s="132"/>
      <c r="CSV4" s="132"/>
      <c r="CSW4" s="132"/>
      <c r="CSX4" s="132"/>
      <c r="CSY4" s="132"/>
      <c r="CSZ4" s="132"/>
      <c r="CTA4" s="132"/>
      <c r="CTB4" s="132"/>
      <c r="CTC4" s="132"/>
      <c r="CTD4" s="132"/>
      <c r="CTE4" s="132"/>
      <c r="CTF4" s="132"/>
      <c r="CTG4" s="132"/>
      <c r="CTH4" s="132"/>
      <c r="CTI4" s="132"/>
      <c r="CTJ4" s="132"/>
      <c r="CTK4" s="132"/>
      <c r="CTL4" s="132"/>
      <c r="CTM4" s="132"/>
      <c r="CTN4" s="132"/>
      <c r="CTO4" s="132"/>
      <c r="CTP4" s="132"/>
      <c r="CTQ4" s="132"/>
      <c r="CTR4" s="132"/>
      <c r="CTS4" s="132"/>
      <c r="CTT4" s="132"/>
      <c r="CTU4" s="132"/>
      <c r="CTV4" s="132"/>
      <c r="CTW4" s="132"/>
      <c r="CTX4" s="132"/>
      <c r="CTY4" s="132"/>
      <c r="CTZ4" s="132"/>
      <c r="CUA4" s="132"/>
    </row>
    <row r="5" s="36" customFormat="1" spans="1:2575">
      <c r="A5" s="132"/>
      <c r="B5" s="133" t="s">
        <v>5</v>
      </c>
      <c r="C5" s="135" t="s">
        <v>81</v>
      </c>
      <c r="D5" s="132"/>
      <c r="F5" s="132"/>
      <c r="G5" s="132"/>
      <c r="H5" s="132"/>
      <c r="I5" s="132"/>
      <c r="J5" s="132"/>
      <c r="K5" s="132"/>
      <c r="L5" s="132"/>
      <c r="M5" s="132"/>
      <c r="N5" s="132"/>
      <c r="O5" s="132"/>
      <c r="P5" s="132"/>
      <c r="Q5" s="132"/>
      <c r="R5" s="132"/>
      <c r="S5" s="132"/>
      <c r="T5" s="132"/>
      <c r="U5" s="132"/>
      <c r="V5" s="132"/>
      <c r="W5" s="132"/>
      <c r="X5" s="132"/>
      <c r="Y5" s="132"/>
      <c r="Z5" s="132"/>
      <c r="AA5" s="132"/>
      <c r="AB5" s="132"/>
      <c r="AC5" s="132"/>
      <c r="AD5" s="132"/>
      <c r="AE5" s="132"/>
      <c r="AF5" s="132"/>
      <c r="AG5" s="132"/>
      <c r="AH5" s="132"/>
      <c r="AI5" s="132"/>
      <c r="AJ5" s="132"/>
      <c r="AK5" s="132"/>
      <c r="AL5" s="132"/>
      <c r="AM5" s="132"/>
      <c r="AN5" s="132"/>
      <c r="AO5" s="132"/>
      <c r="AP5" s="132"/>
      <c r="AQ5" s="132"/>
      <c r="AR5" s="132"/>
      <c r="AS5" s="132"/>
      <c r="AT5" s="132"/>
      <c r="AU5" s="132"/>
      <c r="AV5" s="132"/>
      <c r="AW5" s="132"/>
      <c r="AX5" s="132"/>
      <c r="AY5" s="132"/>
      <c r="AZ5" s="132"/>
      <c r="BA5" s="132"/>
      <c r="BB5" s="132"/>
      <c r="BC5" s="132"/>
      <c r="BD5" s="132"/>
      <c r="BE5" s="132"/>
      <c r="BF5" s="132"/>
      <c r="BG5" s="132"/>
      <c r="BH5" s="132"/>
      <c r="BI5" s="132"/>
      <c r="BJ5" s="132"/>
      <c r="BK5" s="132"/>
      <c r="BL5" s="132"/>
      <c r="BM5" s="132"/>
      <c r="BN5" s="132"/>
      <c r="BO5" s="132"/>
      <c r="BP5" s="132"/>
      <c r="BQ5" s="132"/>
      <c r="BR5" s="132"/>
      <c r="BS5" s="132"/>
      <c r="BT5" s="132"/>
      <c r="BU5" s="132"/>
      <c r="BV5" s="132"/>
      <c r="BW5" s="132"/>
      <c r="BX5" s="132"/>
      <c r="BY5" s="132"/>
      <c r="BZ5" s="132"/>
      <c r="CA5" s="132"/>
      <c r="CB5" s="132"/>
      <c r="CC5" s="132"/>
      <c r="CD5" s="132"/>
      <c r="CE5" s="132"/>
      <c r="CF5" s="132"/>
      <c r="CG5" s="132"/>
      <c r="CH5" s="132"/>
      <c r="CI5" s="132"/>
      <c r="CJ5" s="132"/>
      <c r="CK5" s="132"/>
      <c r="CL5" s="132"/>
      <c r="CM5" s="132"/>
      <c r="CN5" s="132"/>
      <c r="CO5" s="132"/>
      <c r="CP5" s="132"/>
      <c r="CQ5" s="132"/>
      <c r="CR5" s="132"/>
      <c r="CS5" s="132"/>
      <c r="CT5" s="132"/>
      <c r="CU5" s="132"/>
      <c r="CV5" s="132"/>
      <c r="CW5" s="132"/>
      <c r="CX5" s="132"/>
      <c r="CY5" s="132"/>
      <c r="CZ5" s="132"/>
      <c r="DA5" s="132"/>
      <c r="DB5" s="132"/>
      <c r="DC5" s="132"/>
      <c r="DD5" s="132"/>
      <c r="DE5" s="132"/>
      <c r="DF5" s="132"/>
      <c r="DG5" s="132"/>
      <c r="DH5" s="132"/>
      <c r="DI5" s="132"/>
      <c r="DJ5" s="132"/>
      <c r="DK5" s="132"/>
      <c r="DL5" s="132"/>
      <c r="DM5" s="132"/>
      <c r="DN5" s="132"/>
      <c r="DO5" s="132"/>
      <c r="DP5" s="132"/>
      <c r="DQ5" s="132"/>
      <c r="DR5" s="132"/>
      <c r="DS5" s="132"/>
      <c r="DT5" s="132"/>
      <c r="DU5" s="132"/>
      <c r="DV5" s="132"/>
      <c r="DW5" s="132"/>
      <c r="DX5" s="132"/>
      <c r="DY5" s="132"/>
      <c r="DZ5" s="132"/>
      <c r="EA5" s="132"/>
      <c r="EB5" s="132"/>
      <c r="EC5" s="132"/>
      <c r="ED5" s="132"/>
      <c r="EE5" s="132"/>
      <c r="EF5" s="132"/>
      <c r="EG5" s="132"/>
      <c r="EH5" s="132"/>
      <c r="EI5" s="132"/>
      <c r="EJ5" s="132"/>
      <c r="EK5" s="132"/>
      <c r="EL5" s="132"/>
      <c r="EM5" s="132"/>
      <c r="EN5" s="132"/>
      <c r="EO5" s="132"/>
      <c r="EP5" s="132"/>
      <c r="EQ5" s="132"/>
      <c r="ER5" s="132"/>
      <c r="ES5" s="132"/>
      <c r="ET5" s="132"/>
      <c r="EU5" s="132"/>
      <c r="EV5" s="132"/>
      <c r="EW5" s="132"/>
      <c r="EX5" s="132"/>
      <c r="EY5" s="132"/>
      <c r="EZ5" s="132"/>
      <c r="FA5" s="132"/>
      <c r="FB5" s="132"/>
      <c r="FC5" s="132"/>
      <c r="FD5" s="132"/>
      <c r="FE5" s="132"/>
      <c r="FF5" s="132"/>
      <c r="FG5" s="132"/>
      <c r="FH5" s="132"/>
      <c r="FI5" s="132"/>
      <c r="FJ5" s="132"/>
      <c r="FK5" s="132"/>
      <c r="FL5" s="132"/>
      <c r="FM5" s="132"/>
      <c r="FN5" s="132"/>
      <c r="FO5" s="132"/>
      <c r="FP5" s="132"/>
      <c r="FQ5" s="132"/>
      <c r="FR5" s="132"/>
      <c r="FS5" s="132"/>
      <c r="FT5" s="132"/>
      <c r="FU5" s="132"/>
      <c r="FV5" s="132"/>
      <c r="FW5" s="132"/>
      <c r="FX5" s="132"/>
      <c r="FY5" s="132"/>
      <c r="FZ5" s="132"/>
      <c r="GA5" s="132"/>
      <c r="GB5" s="132"/>
      <c r="GC5" s="132"/>
      <c r="GD5" s="132"/>
      <c r="GE5" s="132"/>
      <c r="GF5" s="132"/>
      <c r="GG5" s="132"/>
      <c r="GH5" s="132"/>
      <c r="GI5" s="132"/>
      <c r="GJ5" s="132"/>
      <c r="GK5" s="132"/>
      <c r="GL5" s="132"/>
      <c r="GM5" s="132"/>
      <c r="GN5" s="132"/>
      <c r="GO5" s="132"/>
      <c r="GP5" s="132"/>
      <c r="GQ5" s="132"/>
      <c r="GR5" s="132"/>
      <c r="GS5" s="132"/>
      <c r="GT5" s="132"/>
      <c r="GU5" s="132"/>
      <c r="GV5" s="132"/>
      <c r="GW5" s="132"/>
      <c r="GX5" s="132"/>
      <c r="GY5" s="132"/>
      <c r="GZ5" s="132"/>
      <c r="HA5" s="132"/>
      <c r="HB5" s="132"/>
      <c r="HC5" s="132"/>
      <c r="HD5" s="132"/>
      <c r="HE5" s="132"/>
      <c r="HF5" s="132"/>
      <c r="HG5" s="132"/>
      <c r="HH5" s="132"/>
      <c r="HI5" s="132"/>
      <c r="HJ5" s="132"/>
      <c r="HK5" s="132"/>
      <c r="HL5" s="132"/>
      <c r="HM5" s="132"/>
      <c r="HN5" s="132"/>
      <c r="HO5" s="132"/>
      <c r="HP5" s="132"/>
      <c r="HQ5" s="132"/>
      <c r="HR5" s="132"/>
      <c r="HS5" s="132"/>
      <c r="HT5" s="132"/>
      <c r="HU5" s="132"/>
      <c r="HV5" s="132"/>
      <c r="HW5" s="132"/>
      <c r="HX5" s="132"/>
      <c r="HY5" s="132"/>
      <c r="HZ5" s="132"/>
      <c r="IA5" s="132"/>
      <c r="IB5" s="132"/>
      <c r="IC5" s="132"/>
      <c r="ID5" s="132"/>
      <c r="IE5" s="132"/>
      <c r="IF5" s="132"/>
      <c r="IG5" s="132"/>
      <c r="IH5" s="132"/>
      <c r="II5" s="132"/>
      <c r="IJ5" s="132"/>
      <c r="IK5" s="132"/>
      <c r="IL5" s="132"/>
      <c r="IM5" s="132"/>
      <c r="IN5" s="132"/>
      <c r="IO5" s="132"/>
      <c r="IP5" s="132"/>
      <c r="IQ5" s="132"/>
      <c r="IR5" s="132"/>
      <c r="IS5" s="132"/>
      <c r="IT5" s="132"/>
      <c r="IU5" s="132"/>
      <c r="IV5" s="132"/>
      <c r="IW5" s="132"/>
      <c r="IX5" s="132"/>
      <c r="IY5" s="132"/>
      <c r="IZ5" s="132"/>
      <c r="JA5" s="132"/>
      <c r="JB5" s="132"/>
      <c r="JC5" s="132"/>
      <c r="JD5" s="132"/>
      <c r="JE5" s="132"/>
      <c r="JF5" s="132"/>
      <c r="JG5" s="132"/>
      <c r="JH5" s="132"/>
      <c r="JI5" s="132"/>
      <c r="JJ5" s="132"/>
      <c r="JK5" s="132"/>
      <c r="JL5" s="132"/>
      <c r="JM5" s="132"/>
      <c r="JN5" s="132"/>
      <c r="JO5" s="132"/>
      <c r="JP5" s="132"/>
      <c r="JQ5" s="132"/>
      <c r="JR5" s="132"/>
      <c r="JS5" s="132"/>
      <c r="JT5" s="132"/>
      <c r="JU5" s="132"/>
      <c r="JV5" s="132"/>
      <c r="JW5" s="132"/>
      <c r="JX5" s="132"/>
      <c r="JY5" s="132"/>
      <c r="JZ5" s="132"/>
      <c r="KA5" s="132"/>
      <c r="KB5" s="132"/>
      <c r="KC5" s="132"/>
      <c r="KD5" s="132"/>
      <c r="KE5" s="132"/>
      <c r="KF5" s="132"/>
      <c r="KG5" s="132"/>
      <c r="KH5" s="132"/>
      <c r="KI5" s="132"/>
      <c r="KJ5" s="132"/>
      <c r="KK5" s="132"/>
      <c r="KL5" s="132"/>
      <c r="KM5" s="132"/>
      <c r="KN5" s="132"/>
      <c r="KO5" s="132"/>
      <c r="KP5" s="132"/>
      <c r="KQ5" s="132"/>
      <c r="KR5" s="132"/>
      <c r="KS5" s="132"/>
      <c r="KT5" s="132"/>
      <c r="KU5" s="132"/>
      <c r="KV5" s="132"/>
      <c r="KW5" s="132"/>
      <c r="KX5" s="132"/>
      <c r="KY5" s="132"/>
      <c r="KZ5" s="132"/>
      <c r="LA5" s="132"/>
      <c r="LB5" s="132"/>
      <c r="LC5" s="132"/>
      <c r="LD5" s="132"/>
      <c r="LE5" s="132"/>
      <c r="LF5" s="132"/>
      <c r="LG5" s="132"/>
      <c r="LH5" s="132"/>
      <c r="LI5" s="132"/>
      <c r="LJ5" s="132"/>
      <c r="LK5" s="132"/>
      <c r="LL5" s="132"/>
      <c r="LM5" s="132"/>
      <c r="LN5" s="132"/>
      <c r="LO5" s="132"/>
      <c r="LP5" s="132"/>
      <c r="LQ5" s="132"/>
      <c r="LR5" s="132"/>
      <c r="LS5" s="132"/>
      <c r="LT5" s="132"/>
      <c r="LU5" s="132"/>
      <c r="LV5" s="132"/>
      <c r="LW5" s="132"/>
      <c r="LX5" s="132"/>
      <c r="LY5" s="132"/>
      <c r="LZ5" s="132"/>
      <c r="MA5" s="132"/>
      <c r="MB5" s="132"/>
      <c r="MC5" s="132"/>
      <c r="MD5" s="132"/>
      <c r="ME5" s="132"/>
      <c r="MF5" s="132"/>
      <c r="MG5" s="132"/>
      <c r="MH5" s="132"/>
      <c r="MI5" s="132"/>
      <c r="MJ5" s="132"/>
      <c r="MK5" s="132"/>
      <c r="ML5" s="132"/>
      <c r="MM5" s="132"/>
      <c r="MN5" s="132"/>
      <c r="MO5" s="132"/>
      <c r="MP5" s="132"/>
      <c r="MQ5" s="132"/>
      <c r="MR5" s="132"/>
      <c r="MS5" s="132"/>
      <c r="MT5" s="132"/>
      <c r="MU5" s="132"/>
      <c r="MV5" s="132"/>
      <c r="MW5" s="132"/>
      <c r="MX5" s="132"/>
      <c r="MY5" s="132"/>
      <c r="MZ5" s="132"/>
      <c r="NA5" s="132"/>
      <c r="NB5" s="132"/>
      <c r="NC5" s="132"/>
      <c r="ND5" s="132"/>
      <c r="NE5" s="132"/>
      <c r="NF5" s="132"/>
      <c r="NG5" s="132"/>
      <c r="NH5" s="132"/>
      <c r="NI5" s="132"/>
      <c r="NJ5" s="132"/>
      <c r="NK5" s="132"/>
      <c r="NL5" s="132"/>
      <c r="NM5" s="132"/>
      <c r="NN5" s="132"/>
      <c r="NO5" s="132"/>
      <c r="NP5" s="132"/>
      <c r="NQ5" s="132"/>
      <c r="NR5" s="132"/>
      <c r="NS5" s="132"/>
      <c r="NT5" s="132"/>
      <c r="NU5" s="132"/>
      <c r="NV5" s="132"/>
      <c r="NW5" s="132"/>
      <c r="NX5" s="132"/>
      <c r="NY5" s="132"/>
      <c r="NZ5" s="132"/>
      <c r="OA5" s="132"/>
      <c r="OB5" s="132"/>
      <c r="OC5" s="132"/>
      <c r="OD5" s="132"/>
      <c r="OE5" s="132"/>
      <c r="OF5" s="132"/>
      <c r="OG5" s="132"/>
      <c r="OH5" s="132"/>
      <c r="OI5" s="132"/>
      <c r="OJ5" s="132"/>
      <c r="OK5" s="132"/>
      <c r="OL5" s="132"/>
      <c r="OM5" s="132"/>
      <c r="ON5" s="132"/>
      <c r="OO5" s="132"/>
      <c r="OP5" s="132"/>
      <c r="OQ5" s="132"/>
      <c r="OR5" s="132"/>
      <c r="OS5" s="132"/>
      <c r="OT5" s="132"/>
      <c r="OU5" s="132"/>
      <c r="OV5" s="132"/>
      <c r="OW5" s="132"/>
      <c r="OX5" s="132"/>
      <c r="OY5" s="132"/>
      <c r="OZ5" s="132"/>
      <c r="PA5" s="132"/>
      <c r="PB5" s="132"/>
      <c r="PC5" s="132"/>
      <c r="PD5" s="132"/>
      <c r="PE5" s="132"/>
      <c r="PF5" s="132"/>
      <c r="PG5" s="132"/>
      <c r="PH5" s="132"/>
      <c r="PI5" s="132"/>
      <c r="PJ5" s="132"/>
      <c r="PK5" s="132"/>
      <c r="PL5" s="132"/>
      <c r="PM5" s="132"/>
      <c r="PN5" s="132"/>
      <c r="PO5" s="132"/>
      <c r="PP5" s="132"/>
      <c r="PQ5" s="132"/>
      <c r="PR5" s="132"/>
      <c r="PS5" s="132"/>
      <c r="PT5" s="132"/>
      <c r="PU5" s="132"/>
      <c r="PV5" s="132"/>
      <c r="PW5" s="132"/>
      <c r="PX5" s="132"/>
      <c r="PY5" s="132"/>
      <c r="PZ5" s="132"/>
      <c r="QA5" s="132"/>
      <c r="QB5" s="132"/>
      <c r="QC5" s="132"/>
      <c r="QD5" s="132"/>
      <c r="QE5" s="132"/>
      <c r="QF5" s="132"/>
      <c r="QG5" s="132"/>
      <c r="QH5" s="132"/>
      <c r="QI5" s="132"/>
      <c r="QJ5" s="132"/>
      <c r="QK5" s="132"/>
      <c r="QL5" s="132"/>
      <c r="QM5" s="132"/>
      <c r="QN5" s="132"/>
      <c r="QO5" s="132"/>
      <c r="QP5" s="132"/>
      <c r="QQ5" s="132"/>
      <c r="QR5" s="132"/>
      <c r="QS5" s="132"/>
      <c r="QT5" s="132"/>
      <c r="QU5" s="132"/>
      <c r="QV5" s="132"/>
      <c r="QW5" s="132"/>
      <c r="QX5" s="132"/>
      <c r="QY5" s="132"/>
      <c r="QZ5" s="132"/>
      <c r="RA5" s="132"/>
      <c r="RB5" s="132"/>
      <c r="RC5" s="132"/>
      <c r="RD5" s="132"/>
      <c r="RE5" s="132"/>
      <c r="RF5" s="132"/>
      <c r="RG5" s="132"/>
      <c r="RH5" s="132"/>
      <c r="RI5" s="132"/>
      <c r="RJ5" s="132"/>
      <c r="RK5" s="132"/>
      <c r="RL5" s="132"/>
      <c r="RM5" s="132"/>
      <c r="RN5" s="132"/>
      <c r="RO5" s="132"/>
      <c r="RP5" s="132"/>
      <c r="RQ5" s="132"/>
      <c r="RR5" s="132"/>
      <c r="RS5" s="132"/>
      <c r="RT5" s="132"/>
      <c r="RU5" s="132"/>
      <c r="RV5" s="132"/>
      <c r="RW5" s="132"/>
      <c r="RX5" s="132"/>
      <c r="RY5" s="132"/>
      <c r="RZ5" s="132"/>
      <c r="SA5" s="132"/>
      <c r="SB5" s="132"/>
      <c r="SC5" s="132"/>
      <c r="SD5" s="132"/>
      <c r="SE5" s="132"/>
      <c r="SF5" s="132"/>
      <c r="SG5" s="132"/>
      <c r="SH5" s="132"/>
      <c r="SI5" s="132"/>
      <c r="SJ5" s="132"/>
      <c r="SK5" s="132"/>
      <c r="SL5" s="132"/>
      <c r="SM5" s="132"/>
      <c r="SN5" s="132"/>
      <c r="SO5" s="132"/>
      <c r="SP5" s="132"/>
      <c r="SQ5" s="132"/>
      <c r="SR5" s="132"/>
      <c r="SS5" s="132"/>
      <c r="ST5" s="132"/>
      <c r="SU5" s="132"/>
      <c r="SV5" s="132"/>
      <c r="SW5" s="132"/>
      <c r="SX5" s="132"/>
      <c r="SY5" s="132"/>
      <c r="SZ5" s="132"/>
      <c r="TA5" s="132"/>
      <c r="TB5" s="132"/>
      <c r="TC5" s="132"/>
      <c r="TD5" s="132"/>
      <c r="TE5" s="132"/>
      <c r="TF5" s="132"/>
      <c r="TG5" s="132"/>
      <c r="TH5" s="132"/>
      <c r="TI5" s="132"/>
      <c r="TJ5" s="132"/>
      <c r="TK5" s="132"/>
      <c r="TL5" s="132"/>
      <c r="TM5" s="132"/>
      <c r="TN5" s="132"/>
      <c r="TO5" s="132"/>
      <c r="TP5" s="132"/>
      <c r="TQ5" s="132"/>
      <c r="TR5" s="132"/>
      <c r="TS5" s="132"/>
      <c r="TT5" s="132"/>
      <c r="TU5" s="132"/>
      <c r="TV5" s="132"/>
      <c r="TW5" s="132"/>
      <c r="TX5" s="132"/>
      <c r="TY5" s="132"/>
      <c r="TZ5" s="132"/>
      <c r="UA5" s="132"/>
      <c r="UB5" s="132"/>
      <c r="UC5" s="132"/>
      <c r="UD5" s="132"/>
      <c r="UE5" s="132"/>
      <c r="UF5" s="132"/>
      <c r="UG5" s="132"/>
      <c r="UH5" s="132"/>
      <c r="UI5" s="132"/>
      <c r="UJ5" s="132"/>
      <c r="UK5" s="132"/>
      <c r="UL5" s="132"/>
      <c r="UM5" s="132"/>
      <c r="UN5" s="132"/>
      <c r="UO5" s="132"/>
      <c r="UP5" s="132"/>
      <c r="UQ5" s="132"/>
      <c r="UR5" s="132"/>
      <c r="US5" s="132"/>
      <c r="UT5" s="132"/>
      <c r="UU5" s="132"/>
      <c r="UV5" s="132"/>
      <c r="UW5" s="132"/>
      <c r="UX5" s="132"/>
      <c r="UY5" s="132"/>
      <c r="UZ5" s="132"/>
      <c r="VA5" s="132"/>
      <c r="VB5" s="132"/>
      <c r="VC5" s="132"/>
      <c r="VD5" s="132"/>
      <c r="VE5" s="132"/>
      <c r="VF5" s="132"/>
      <c r="VG5" s="132"/>
      <c r="VH5" s="132"/>
      <c r="VI5" s="132"/>
      <c r="VJ5" s="132"/>
      <c r="VK5" s="132"/>
      <c r="VL5" s="132"/>
      <c r="VM5" s="132"/>
      <c r="VN5" s="132"/>
      <c r="VO5" s="132"/>
      <c r="VP5" s="132"/>
      <c r="VQ5" s="132"/>
      <c r="VR5" s="132"/>
      <c r="VS5" s="132"/>
      <c r="VT5" s="132"/>
      <c r="VU5" s="132"/>
      <c r="VV5" s="132"/>
      <c r="VW5" s="132"/>
      <c r="VX5" s="132"/>
      <c r="VY5" s="132"/>
      <c r="VZ5" s="132"/>
      <c r="WA5" s="132"/>
      <c r="WB5" s="132"/>
      <c r="WC5" s="132"/>
      <c r="WD5" s="132"/>
      <c r="WE5" s="132"/>
      <c r="WF5" s="132"/>
      <c r="WG5" s="132"/>
      <c r="WH5" s="132"/>
      <c r="WI5" s="132"/>
      <c r="WJ5" s="132"/>
      <c r="WK5" s="132"/>
      <c r="WL5" s="132"/>
      <c r="WM5" s="132"/>
      <c r="WN5" s="132"/>
      <c r="WO5" s="132"/>
      <c r="WP5" s="132"/>
      <c r="WQ5" s="132"/>
      <c r="WR5" s="132"/>
      <c r="WS5" s="132"/>
      <c r="WT5" s="132"/>
      <c r="WU5" s="132"/>
      <c r="WV5" s="132"/>
      <c r="WW5" s="132"/>
      <c r="WX5" s="132"/>
      <c r="WY5" s="132"/>
      <c r="WZ5" s="132"/>
      <c r="XA5" s="132"/>
      <c r="XB5" s="132"/>
      <c r="XC5" s="132"/>
      <c r="XD5" s="132"/>
      <c r="XE5" s="132"/>
      <c r="XF5" s="132"/>
      <c r="XG5" s="132"/>
      <c r="XH5" s="132"/>
      <c r="XI5" s="132"/>
      <c r="XJ5" s="132"/>
      <c r="XK5" s="132"/>
      <c r="XL5" s="132"/>
      <c r="XM5" s="132"/>
      <c r="XN5" s="132"/>
      <c r="XO5" s="132"/>
      <c r="XP5" s="132"/>
      <c r="XQ5" s="132"/>
      <c r="XR5" s="132"/>
      <c r="XS5" s="132"/>
      <c r="XT5" s="132"/>
      <c r="XU5" s="132"/>
      <c r="XV5" s="132"/>
      <c r="XW5" s="132"/>
      <c r="XX5" s="132"/>
      <c r="XY5" s="132"/>
      <c r="XZ5" s="132"/>
      <c r="YA5" s="132"/>
      <c r="YB5" s="132"/>
      <c r="YC5" s="132"/>
      <c r="YD5" s="132"/>
      <c r="YE5" s="132"/>
      <c r="YF5" s="132"/>
      <c r="YG5" s="132"/>
      <c r="YH5" s="132"/>
      <c r="YI5" s="132"/>
      <c r="YJ5" s="132"/>
      <c r="YK5" s="132"/>
      <c r="YL5" s="132"/>
      <c r="YM5" s="132"/>
      <c r="YN5" s="132"/>
      <c r="YO5" s="132"/>
      <c r="YP5" s="132"/>
      <c r="YQ5" s="132"/>
      <c r="YR5" s="132"/>
      <c r="YS5" s="132"/>
      <c r="YT5" s="132"/>
      <c r="YU5" s="132"/>
      <c r="YV5" s="132"/>
      <c r="YW5" s="132"/>
      <c r="YX5" s="132"/>
      <c r="YY5" s="132"/>
      <c r="YZ5" s="132"/>
      <c r="ZA5" s="132"/>
      <c r="ZB5" s="132"/>
      <c r="ZC5" s="132"/>
      <c r="ZD5" s="132"/>
      <c r="ZE5" s="132"/>
      <c r="ZF5" s="132"/>
      <c r="ZG5" s="132"/>
      <c r="ZH5" s="132"/>
      <c r="ZI5" s="132"/>
      <c r="ZJ5" s="132"/>
      <c r="ZK5" s="132"/>
      <c r="ZL5" s="132"/>
      <c r="ZM5" s="132"/>
      <c r="ZN5" s="132"/>
      <c r="ZO5" s="132"/>
      <c r="ZP5" s="132"/>
      <c r="ZQ5" s="132"/>
      <c r="ZR5" s="132"/>
      <c r="ZS5" s="132"/>
      <c r="ZT5" s="132"/>
      <c r="ZU5" s="132"/>
      <c r="ZV5" s="132"/>
      <c r="ZW5" s="132"/>
      <c r="ZX5" s="132"/>
      <c r="ZY5" s="132"/>
      <c r="ZZ5" s="132"/>
      <c r="AAA5" s="132"/>
      <c r="AAB5" s="132"/>
      <c r="AAC5" s="132"/>
      <c r="AAD5" s="132"/>
      <c r="AAE5" s="132"/>
      <c r="AAF5" s="132"/>
      <c r="AAG5" s="132"/>
      <c r="AAH5" s="132"/>
      <c r="AAI5" s="132"/>
      <c r="AAJ5" s="132"/>
      <c r="AAK5" s="132"/>
      <c r="AAL5" s="132"/>
      <c r="AAM5" s="132"/>
      <c r="AAN5" s="132"/>
      <c r="AAO5" s="132"/>
      <c r="AAP5" s="132"/>
      <c r="AAQ5" s="132"/>
      <c r="AAR5" s="132"/>
      <c r="AAS5" s="132"/>
      <c r="AAT5" s="132"/>
      <c r="AAU5" s="132"/>
      <c r="AAV5" s="132"/>
      <c r="AAW5" s="132"/>
      <c r="AAX5" s="132"/>
      <c r="AAY5" s="132"/>
      <c r="AAZ5" s="132"/>
      <c r="ABA5" s="132"/>
      <c r="ABB5" s="132"/>
      <c r="ABC5" s="132"/>
      <c r="ABD5" s="132"/>
      <c r="ABE5" s="132"/>
      <c r="ABF5" s="132"/>
      <c r="ABG5" s="132"/>
      <c r="ABH5" s="132"/>
      <c r="ABI5" s="132"/>
      <c r="ABJ5" s="132"/>
      <c r="ABK5" s="132"/>
      <c r="ABL5" s="132"/>
      <c r="ABM5" s="132"/>
      <c r="ABN5" s="132"/>
      <c r="ABO5" s="132"/>
      <c r="ABP5" s="132"/>
      <c r="ABQ5" s="132"/>
      <c r="ABR5" s="132"/>
      <c r="ABS5" s="132"/>
      <c r="ABT5" s="132"/>
      <c r="ABU5" s="132"/>
      <c r="ABV5" s="132"/>
      <c r="ABW5" s="132"/>
      <c r="ABX5" s="132"/>
      <c r="ABY5" s="132"/>
      <c r="ABZ5" s="132"/>
      <c r="ACA5" s="132"/>
      <c r="ACB5" s="132"/>
      <c r="ACC5" s="132"/>
      <c r="ACD5" s="132"/>
      <c r="ACE5" s="132"/>
      <c r="ACF5" s="132"/>
      <c r="ACG5" s="132"/>
      <c r="ACH5" s="132"/>
      <c r="ACI5" s="132"/>
      <c r="ACJ5" s="132"/>
      <c r="ACK5" s="132"/>
      <c r="ACL5" s="132"/>
      <c r="ACM5" s="132"/>
      <c r="ACN5" s="132"/>
      <c r="ACO5" s="132"/>
      <c r="ACP5" s="132"/>
      <c r="ACQ5" s="132"/>
      <c r="ACR5" s="132"/>
      <c r="ACS5" s="132"/>
      <c r="ACT5" s="132"/>
      <c r="ACU5" s="132"/>
      <c r="ACV5" s="132"/>
      <c r="ACW5" s="132"/>
      <c r="ACX5" s="132"/>
      <c r="ACY5" s="132"/>
      <c r="ACZ5" s="132"/>
      <c r="ADA5" s="132"/>
      <c r="ADB5" s="132"/>
      <c r="ADC5" s="132"/>
      <c r="ADD5" s="132"/>
      <c r="ADE5" s="132"/>
      <c r="ADF5" s="132"/>
      <c r="ADG5" s="132"/>
      <c r="ADH5" s="132"/>
      <c r="ADI5" s="132"/>
      <c r="ADJ5" s="132"/>
      <c r="ADK5" s="132"/>
      <c r="ADL5" s="132"/>
      <c r="ADM5" s="132"/>
      <c r="ADN5" s="132"/>
      <c r="ADO5" s="132"/>
      <c r="ADP5" s="132"/>
      <c r="ADQ5" s="132"/>
      <c r="ADR5" s="132"/>
      <c r="ADS5" s="132"/>
      <c r="ADT5" s="132"/>
      <c r="ADU5" s="132"/>
      <c r="ADV5" s="132"/>
      <c r="ADW5" s="132"/>
      <c r="ADX5" s="132"/>
      <c r="ADY5" s="132"/>
      <c r="ADZ5" s="132"/>
      <c r="AEA5" s="132"/>
      <c r="AEB5" s="132"/>
      <c r="AEC5" s="132"/>
      <c r="AED5" s="132"/>
      <c r="AEE5" s="132"/>
      <c r="AEF5" s="132"/>
      <c r="AEG5" s="132"/>
      <c r="AEH5" s="132"/>
      <c r="AEI5" s="132"/>
      <c r="AEJ5" s="132"/>
      <c r="AEK5" s="132"/>
      <c r="AEL5" s="132"/>
      <c r="AEM5" s="132"/>
      <c r="AEN5" s="132"/>
      <c r="AEO5" s="132"/>
      <c r="AEP5" s="132"/>
      <c r="AEQ5" s="132"/>
      <c r="AER5" s="132"/>
      <c r="AES5" s="132"/>
      <c r="AET5" s="132"/>
      <c r="AEU5" s="132"/>
      <c r="AEV5" s="132"/>
      <c r="AEW5" s="132"/>
      <c r="AEX5" s="132"/>
      <c r="AEY5" s="132"/>
      <c r="AEZ5" s="132"/>
      <c r="AFA5" s="132"/>
      <c r="AFB5" s="132"/>
      <c r="AFC5" s="132"/>
      <c r="AFD5" s="132"/>
      <c r="AFE5" s="132"/>
      <c r="AFF5" s="132"/>
      <c r="AFG5" s="132"/>
      <c r="AFH5" s="132"/>
      <c r="AFI5" s="132"/>
      <c r="AFJ5" s="132"/>
      <c r="AFK5" s="132"/>
      <c r="AFL5" s="132"/>
      <c r="AFM5" s="132"/>
      <c r="AFN5" s="132"/>
      <c r="AFO5" s="132"/>
      <c r="AFP5" s="132"/>
      <c r="AFQ5" s="132"/>
      <c r="AFR5" s="132"/>
      <c r="AFS5" s="132"/>
      <c r="AFT5" s="132"/>
      <c r="AFU5" s="132"/>
      <c r="AFV5" s="132"/>
      <c r="AFW5" s="132"/>
      <c r="AFX5" s="132"/>
      <c r="AFY5" s="132"/>
      <c r="AFZ5" s="132"/>
      <c r="AGA5" s="132"/>
      <c r="AGB5" s="132"/>
      <c r="AGC5" s="132"/>
      <c r="AGD5" s="132"/>
      <c r="AGE5" s="132"/>
      <c r="AGF5" s="132"/>
      <c r="AGG5" s="132"/>
      <c r="AGH5" s="132"/>
      <c r="AGI5" s="132"/>
      <c r="AGJ5" s="132"/>
      <c r="AGK5" s="132"/>
      <c r="AGL5" s="132"/>
      <c r="AGM5" s="132"/>
      <c r="AGN5" s="132"/>
      <c r="AGO5" s="132"/>
      <c r="AGP5" s="132"/>
      <c r="AGQ5" s="132"/>
      <c r="AGR5" s="132"/>
      <c r="AGS5" s="132"/>
      <c r="AGT5" s="132"/>
      <c r="AGU5" s="132"/>
      <c r="AGV5" s="132"/>
      <c r="AGW5" s="132"/>
      <c r="AGX5" s="132"/>
      <c r="AGY5" s="132"/>
      <c r="AGZ5" s="132"/>
      <c r="AHA5" s="132"/>
      <c r="AHB5" s="132"/>
      <c r="AHC5" s="132"/>
      <c r="AHD5" s="132"/>
      <c r="AHE5" s="132"/>
      <c r="AHF5" s="132"/>
      <c r="AHG5" s="132"/>
      <c r="AHH5" s="132"/>
      <c r="AHI5" s="132"/>
      <c r="AHJ5" s="132"/>
      <c r="AHK5" s="132"/>
      <c r="AHL5" s="132"/>
      <c r="AHM5" s="132"/>
      <c r="AHN5" s="132"/>
      <c r="AHO5" s="132"/>
      <c r="AHP5" s="132"/>
      <c r="AHQ5" s="132"/>
      <c r="AHR5" s="132"/>
      <c r="AHS5" s="132"/>
      <c r="AHT5" s="132"/>
      <c r="AHU5" s="132"/>
      <c r="AHV5" s="132"/>
      <c r="AHW5" s="132"/>
      <c r="AHX5" s="132"/>
      <c r="AHY5" s="132"/>
      <c r="AHZ5" s="132"/>
      <c r="AIA5" s="132"/>
      <c r="AIB5" s="132"/>
      <c r="AIC5" s="132"/>
      <c r="AID5" s="132"/>
      <c r="AIE5" s="132"/>
      <c r="AIF5" s="132"/>
      <c r="AIG5" s="132"/>
      <c r="AIH5" s="132"/>
      <c r="AII5" s="132"/>
      <c r="AIJ5" s="132"/>
      <c r="AIK5" s="132"/>
      <c r="AIL5" s="132"/>
      <c r="AIM5" s="132"/>
      <c r="AIN5" s="132"/>
      <c r="AIO5" s="132"/>
      <c r="AIP5" s="132"/>
      <c r="AIQ5" s="132"/>
      <c r="AIR5" s="132"/>
      <c r="AIS5" s="132"/>
      <c r="AIT5" s="132"/>
      <c r="AIU5" s="132"/>
      <c r="AIV5" s="132"/>
      <c r="AIW5" s="132"/>
      <c r="AIX5" s="132"/>
      <c r="AIY5" s="132"/>
      <c r="AIZ5" s="132"/>
      <c r="AJA5" s="132"/>
      <c r="AJB5" s="132"/>
      <c r="AJC5" s="132"/>
      <c r="AJD5" s="132"/>
      <c r="AJE5" s="132"/>
      <c r="AJF5" s="132"/>
      <c r="AJG5" s="132"/>
      <c r="AJH5" s="132"/>
      <c r="AJI5" s="132"/>
      <c r="AJJ5" s="132"/>
      <c r="AJK5" s="132"/>
      <c r="AJL5" s="132"/>
      <c r="AJM5" s="132"/>
      <c r="AJN5" s="132"/>
      <c r="AJO5" s="132"/>
      <c r="AJP5" s="132"/>
      <c r="AJQ5" s="132"/>
      <c r="AJR5" s="132"/>
      <c r="AJS5" s="132"/>
      <c r="AJT5" s="132"/>
      <c r="AJU5" s="132"/>
      <c r="AJV5" s="132"/>
      <c r="AJW5" s="132"/>
      <c r="AJX5" s="132"/>
      <c r="AJY5" s="132"/>
      <c r="AJZ5" s="132"/>
      <c r="AKA5" s="132"/>
      <c r="AKB5" s="132"/>
      <c r="AKC5" s="132"/>
      <c r="AKD5" s="132"/>
      <c r="AKE5" s="132"/>
      <c r="AKF5" s="132"/>
      <c r="AKG5" s="132"/>
      <c r="AKH5" s="132"/>
      <c r="AKI5" s="132"/>
      <c r="AKJ5" s="132"/>
      <c r="AKK5" s="132"/>
      <c r="AKL5" s="132"/>
      <c r="AKM5" s="132"/>
      <c r="AKN5" s="132"/>
      <c r="AKO5" s="132"/>
      <c r="AKP5" s="132"/>
      <c r="AKQ5" s="132"/>
      <c r="AKR5" s="132"/>
      <c r="AKS5" s="132"/>
      <c r="AKT5" s="132"/>
      <c r="AKU5" s="132"/>
      <c r="AKV5" s="132"/>
      <c r="AKW5" s="132"/>
      <c r="AKX5" s="132"/>
      <c r="AKY5" s="132"/>
      <c r="AKZ5" s="132"/>
      <c r="ALA5" s="132"/>
      <c r="ALB5" s="132"/>
      <c r="ALC5" s="132"/>
      <c r="ALD5" s="132"/>
      <c r="ALE5" s="132"/>
      <c r="ALF5" s="132"/>
      <c r="ALG5" s="132"/>
      <c r="ALH5" s="132"/>
      <c r="ALI5" s="132"/>
      <c r="ALJ5" s="132"/>
      <c r="ALK5" s="132"/>
      <c r="ALL5" s="132"/>
      <c r="ALM5" s="132"/>
      <c r="ALN5" s="132"/>
      <c r="ALO5" s="132"/>
      <c r="ALP5" s="132"/>
      <c r="ALQ5" s="132"/>
      <c r="ALR5" s="132"/>
      <c r="ALS5" s="132"/>
      <c r="ALT5" s="132"/>
      <c r="ALU5" s="132"/>
      <c r="ALV5" s="132"/>
      <c r="ALW5" s="132"/>
      <c r="ALX5" s="132"/>
      <c r="ALY5" s="132"/>
      <c r="ALZ5" s="132"/>
      <c r="AMA5" s="132"/>
      <c r="AMB5" s="132"/>
      <c r="AMC5" s="132"/>
      <c r="AMD5" s="132"/>
      <c r="AME5" s="132"/>
      <c r="AMF5" s="132"/>
      <c r="AMG5" s="132"/>
      <c r="AMH5" s="132"/>
      <c r="AMI5" s="132"/>
      <c r="AMJ5" s="132"/>
      <c r="AMK5" s="132"/>
      <c r="AML5" s="132"/>
      <c r="AMM5" s="132"/>
      <c r="AMN5" s="132"/>
      <c r="AMO5" s="132"/>
      <c r="AMP5" s="132"/>
      <c r="AMQ5" s="132"/>
      <c r="AMR5" s="132"/>
      <c r="AMS5" s="132"/>
      <c r="AMT5" s="132"/>
      <c r="AMU5" s="132"/>
      <c r="AMV5" s="132"/>
      <c r="AMW5" s="132"/>
      <c r="AMX5" s="132"/>
      <c r="AMY5" s="132"/>
      <c r="AMZ5" s="132"/>
      <c r="ANA5" s="132"/>
      <c r="ANB5" s="132"/>
      <c r="ANC5" s="132"/>
      <c r="AND5" s="132"/>
      <c r="ANE5" s="132"/>
      <c r="ANF5" s="132"/>
      <c r="ANG5" s="132"/>
      <c r="ANH5" s="132"/>
      <c r="ANI5" s="132"/>
      <c r="ANJ5" s="132"/>
      <c r="ANK5" s="132"/>
      <c r="ANL5" s="132"/>
      <c r="ANM5" s="132"/>
      <c r="ANN5" s="132"/>
      <c r="ANO5" s="132"/>
      <c r="ANP5" s="132"/>
      <c r="ANQ5" s="132"/>
      <c r="ANR5" s="132"/>
      <c r="ANS5" s="132"/>
      <c r="ANT5" s="132"/>
      <c r="ANU5" s="132"/>
      <c r="ANV5" s="132"/>
      <c r="ANW5" s="132"/>
      <c r="ANX5" s="132"/>
      <c r="ANY5" s="132"/>
      <c r="ANZ5" s="132"/>
      <c r="AOA5" s="132"/>
      <c r="AOB5" s="132"/>
      <c r="AOC5" s="132"/>
      <c r="AOD5" s="132"/>
      <c r="AOE5" s="132"/>
      <c r="AOF5" s="132"/>
      <c r="AOG5" s="132"/>
      <c r="AOH5" s="132"/>
      <c r="AOI5" s="132"/>
      <c r="AOJ5" s="132"/>
      <c r="AOK5" s="132"/>
      <c r="AOL5" s="132"/>
      <c r="AOM5" s="132"/>
      <c r="AON5" s="132"/>
      <c r="AOO5" s="132"/>
      <c r="AOP5" s="132"/>
      <c r="AOQ5" s="132"/>
      <c r="AOR5" s="132"/>
      <c r="AOS5" s="132"/>
      <c r="AOT5" s="132"/>
      <c r="AOU5" s="132"/>
      <c r="AOV5" s="132"/>
      <c r="AOW5" s="132"/>
      <c r="AOX5" s="132"/>
      <c r="AOY5" s="132"/>
      <c r="AOZ5" s="132"/>
      <c r="APA5" s="132"/>
      <c r="APB5" s="132"/>
      <c r="APC5" s="132"/>
      <c r="APD5" s="132"/>
      <c r="APE5" s="132"/>
      <c r="APF5" s="132"/>
      <c r="APG5" s="132"/>
      <c r="APH5" s="132"/>
      <c r="API5" s="132"/>
      <c r="APJ5" s="132"/>
      <c r="APK5" s="132"/>
      <c r="APL5" s="132"/>
      <c r="APM5" s="132"/>
      <c r="APN5" s="132"/>
      <c r="APO5" s="132"/>
      <c r="APP5" s="132"/>
      <c r="APQ5" s="132"/>
      <c r="APR5" s="132"/>
      <c r="APS5" s="132"/>
      <c r="APT5" s="132"/>
      <c r="APU5" s="132"/>
      <c r="APV5" s="132"/>
      <c r="APW5" s="132"/>
      <c r="APX5" s="132"/>
      <c r="APY5" s="132"/>
      <c r="APZ5" s="132"/>
      <c r="AQA5" s="132"/>
      <c r="AQB5" s="132"/>
      <c r="AQC5" s="132"/>
      <c r="AQD5" s="132"/>
      <c r="AQE5" s="132"/>
      <c r="AQF5" s="132"/>
      <c r="AQG5" s="132"/>
      <c r="AQH5" s="132"/>
      <c r="AQI5" s="132"/>
      <c r="AQJ5" s="132"/>
      <c r="AQK5" s="132"/>
      <c r="AQL5" s="132"/>
      <c r="AQM5" s="132"/>
      <c r="AQN5" s="132"/>
      <c r="AQO5" s="132"/>
      <c r="AQP5" s="132"/>
      <c r="AQQ5" s="132"/>
      <c r="AQR5" s="132"/>
      <c r="AQS5" s="132"/>
      <c r="AQT5" s="132"/>
      <c r="AQU5" s="132"/>
      <c r="AQV5" s="132"/>
      <c r="AQW5" s="132"/>
      <c r="AQX5" s="132"/>
      <c r="AQY5" s="132"/>
      <c r="AQZ5" s="132"/>
      <c r="ARA5" s="132"/>
      <c r="ARB5" s="132"/>
      <c r="ARC5" s="132"/>
      <c r="ARD5" s="132"/>
      <c r="ARE5" s="132"/>
      <c r="ARF5" s="132"/>
      <c r="ARG5" s="132"/>
      <c r="ARH5" s="132"/>
      <c r="ARI5" s="132"/>
      <c r="ARJ5" s="132"/>
      <c r="ARK5" s="132"/>
      <c r="ARL5" s="132"/>
      <c r="ARM5" s="132"/>
      <c r="ARN5" s="132"/>
      <c r="ARO5" s="132"/>
      <c r="ARP5" s="132"/>
      <c r="ARQ5" s="132"/>
      <c r="ARR5" s="132"/>
      <c r="ARS5" s="132"/>
      <c r="ART5" s="132"/>
      <c r="ARU5" s="132"/>
      <c r="ARV5" s="132"/>
      <c r="ARW5" s="132"/>
      <c r="ARX5" s="132"/>
      <c r="ARY5" s="132"/>
      <c r="ARZ5" s="132"/>
      <c r="ASA5" s="132"/>
      <c r="ASB5" s="132"/>
      <c r="ASC5" s="132"/>
      <c r="ASD5" s="132"/>
      <c r="ASE5" s="132"/>
      <c r="ASF5" s="132"/>
      <c r="ASG5" s="132"/>
      <c r="ASH5" s="132"/>
      <c r="ASI5" s="132"/>
      <c r="ASJ5" s="132"/>
      <c r="ASK5" s="132"/>
      <c r="ASL5" s="132"/>
      <c r="ASM5" s="132"/>
      <c r="ASN5" s="132"/>
      <c r="ASO5" s="132"/>
      <c r="ASP5" s="132"/>
      <c r="ASQ5" s="132"/>
      <c r="ASR5" s="132"/>
      <c r="ASS5" s="132"/>
      <c r="AST5" s="132"/>
      <c r="ASU5" s="132"/>
      <c r="ASV5" s="132"/>
      <c r="ASW5" s="132"/>
      <c r="ASX5" s="132"/>
      <c r="ASY5" s="132"/>
      <c r="ASZ5" s="132"/>
      <c r="ATA5" s="132"/>
      <c r="ATB5" s="132"/>
      <c r="ATC5" s="132"/>
      <c r="ATD5" s="132"/>
      <c r="ATE5" s="132"/>
      <c r="ATF5" s="132"/>
      <c r="ATG5" s="132"/>
      <c r="ATH5" s="132"/>
      <c r="ATI5" s="132"/>
      <c r="ATJ5" s="132"/>
      <c r="ATK5" s="132"/>
      <c r="ATL5" s="132"/>
      <c r="ATM5" s="132"/>
      <c r="ATN5" s="132"/>
      <c r="ATO5" s="132"/>
      <c r="ATP5" s="132"/>
      <c r="ATQ5" s="132"/>
      <c r="ATR5" s="132"/>
      <c r="ATS5" s="132"/>
      <c r="ATT5" s="132"/>
      <c r="ATU5" s="132"/>
      <c r="ATV5" s="132"/>
      <c r="ATW5" s="132"/>
      <c r="ATX5" s="132"/>
      <c r="ATY5" s="132"/>
      <c r="ATZ5" s="132"/>
      <c r="AUA5" s="132"/>
      <c r="AUB5" s="132"/>
      <c r="AUC5" s="132"/>
      <c r="AUD5" s="132"/>
      <c r="AUE5" s="132"/>
      <c r="AUF5" s="132"/>
      <c r="AUG5" s="132"/>
      <c r="AUH5" s="132"/>
      <c r="AUI5" s="132"/>
      <c r="AUJ5" s="132"/>
      <c r="AUK5" s="132"/>
      <c r="AUL5" s="132"/>
      <c r="AUM5" s="132"/>
      <c r="AUN5" s="132"/>
      <c r="AUO5" s="132"/>
      <c r="AUP5" s="132"/>
      <c r="AUQ5" s="132"/>
      <c r="AUR5" s="132"/>
      <c r="AUS5" s="132"/>
      <c r="AUT5" s="132"/>
      <c r="AUU5" s="132"/>
      <c r="AUV5" s="132"/>
      <c r="AUW5" s="132"/>
      <c r="AUX5" s="132"/>
      <c r="AUY5" s="132"/>
      <c r="AUZ5" s="132"/>
      <c r="AVA5" s="132"/>
      <c r="AVB5" s="132"/>
      <c r="AVC5" s="132"/>
      <c r="AVD5" s="132"/>
      <c r="AVE5" s="132"/>
      <c r="AVF5" s="132"/>
      <c r="AVG5" s="132"/>
      <c r="AVH5" s="132"/>
      <c r="AVI5" s="132"/>
      <c r="AVJ5" s="132"/>
      <c r="AVK5" s="132"/>
      <c r="AVL5" s="132"/>
      <c r="AVM5" s="132"/>
      <c r="AVN5" s="132"/>
      <c r="AVO5" s="132"/>
      <c r="AVP5" s="132"/>
      <c r="AVQ5" s="132"/>
      <c r="AVR5" s="132"/>
      <c r="AVS5" s="132"/>
      <c r="AVT5" s="132"/>
      <c r="AVU5" s="132"/>
      <c r="AVV5" s="132"/>
      <c r="AVW5" s="132"/>
      <c r="AVX5" s="132"/>
      <c r="AVY5" s="132"/>
      <c r="AVZ5" s="132"/>
      <c r="AWA5" s="132"/>
      <c r="AWB5" s="132"/>
      <c r="AWC5" s="132"/>
      <c r="AWD5" s="132"/>
      <c r="AWE5" s="132"/>
      <c r="AWF5" s="132"/>
      <c r="AWG5" s="132"/>
      <c r="AWH5" s="132"/>
      <c r="AWI5" s="132"/>
      <c r="AWJ5" s="132"/>
      <c r="AWK5" s="132"/>
      <c r="AWL5" s="132"/>
      <c r="AWM5" s="132"/>
      <c r="AWN5" s="132"/>
      <c r="AWO5" s="132"/>
      <c r="AWP5" s="132"/>
      <c r="AWQ5" s="132"/>
      <c r="AWR5" s="132"/>
      <c r="AWS5" s="132"/>
      <c r="AWT5" s="132"/>
      <c r="AWU5" s="132"/>
      <c r="AWV5" s="132"/>
      <c r="AWW5" s="132"/>
      <c r="AWX5" s="132"/>
      <c r="AWY5" s="132"/>
      <c r="AWZ5" s="132"/>
      <c r="AXA5" s="132"/>
      <c r="AXB5" s="132"/>
      <c r="AXC5" s="132"/>
      <c r="AXD5" s="132"/>
      <c r="AXE5" s="132"/>
      <c r="AXF5" s="132"/>
      <c r="AXG5" s="132"/>
      <c r="AXH5" s="132"/>
      <c r="AXI5" s="132"/>
      <c r="AXJ5" s="132"/>
      <c r="AXK5" s="132"/>
      <c r="AXL5" s="132"/>
      <c r="AXM5" s="132"/>
      <c r="AXN5" s="132"/>
      <c r="AXO5" s="132"/>
      <c r="AXP5" s="132"/>
      <c r="AXQ5" s="132"/>
      <c r="AXR5" s="132"/>
      <c r="AXS5" s="132"/>
      <c r="AXT5" s="132"/>
      <c r="AXU5" s="132"/>
      <c r="AXV5" s="132"/>
      <c r="AXW5" s="132"/>
      <c r="AXX5" s="132"/>
      <c r="AXY5" s="132"/>
      <c r="AXZ5" s="132"/>
      <c r="AYA5" s="132"/>
      <c r="AYB5" s="132"/>
      <c r="AYC5" s="132"/>
      <c r="AYD5" s="132"/>
      <c r="AYE5" s="132"/>
      <c r="AYF5" s="132"/>
      <c r="AYG5" s="132"/>
      <c r="AYH5" s="132"/>
      <c r="AYI5" s="132"/>
      <c r="AYJ5" s="132"/>
      <c r="AYK5" s="132"/>
      <c r="AYL5" s="132"/>
      <c r="AYM5" s="132"/>
      <c r="AYN5" s="132"/>
      <c r="AYO5" s="132"/>
      <c r="AYP5" s="132"/>
      <c r="AYQ5" s="132"/>
      <c r="AYR5" s="132"/>
      <c r="AYS5" s="132"/>
      <c r="AYT5" s="132"/>
      <c r="AYU5" s="132"/>
      <c r="AYV5" s="132"/>
      <c r="AYW5" s="132"/>
      <c r="AYX5" s="132"/>
      <c r="AYY5" s="132"/>
      <c r="AYZ5" s="132"/>
      <c r="AZA5" s="132"/>
      <c r="AZB5" s="132"/>
      <c r="AZC5" s="132"/>
      <c r="AZD5" s="132"/>
      <c r="AZE5" s="132"/>
      <c r="AZF5" s="132"/>
      <c r="AZG5" s="132"/>
      <c r="AZH5" s="132"/>
      <c r="AZI5" s="132"/>
      <c r="AZJ5" s="132"/>
      <c r="AZK5" s="132"/>
      <c r="AZL5" s="132"/>
      <c r="AZM5" s="132"/>
      <c r="AZN5" s="132"/>
      <c r="AZO5" s="132"/>
      <c r="AZP5" s="132"/>
      <c r="AZQ5" s="132"/>
      <c r="AZR5" s="132"/>
      <c r="AZS5" s="132"/>
      <c r="AZT5" s="132"/>
      <c r="AZU5" s="132"/>
      <c r="AZV5" s="132"/>
      <c r="AZW5" s="132"/>
      <c r="AZX5" s="132"/>
      <c r="AZY5" s="132"/>
      <c r="AZZ5" s="132"/>
      <c r="BAA5" s="132"/>
      <c r="BAB5" s="132"/>
      <c r="BAC5" s="132"/>
      <c r="BAD5" s="132"/>
      <c r="BAE5" s="132"/>
      <c r="BAF5" s="132"/>
      <c r="BAG5" s="132"/>
      <c r="BAH5" s="132"/>
      <c r="BAI5" s="132"/>
      <c r="BAJ5" s="132"/>
      <c r="BAK5" s="132"/>
      <c r="BAL5" s="132"/>
      <c r="BAM5" s="132"/>
      <c r="BAN5" s="132"/>
      <c r="BAO5" s="132"/>
      <c r="BAP5" s="132"/>
      <c r="BAQ5" s="132"/>
      <c r="BAR5" s="132"/>
      <c r="BAS5" s="132"/>
      <c r="BAT5" s="132"/>
      <c r="BAU5" s="132"/>
      <c r="BAV5" s="132"/>
      <c r="BAW5" s="132"/>
      <c r="BAX5" s="132"/>
      <c r="BAY5" s="132"/>
      <c r="BAZ5" s="132"/>
      <c r="BBA5" s="132"/>
      <c r="BBB5" s="132"/>
      <c r="BBC5" s="132"/>
      <c r="BBD5" s="132"/>
      <c r="BBE5" s="132"/>
      <c r="BBF5" s="132"/>
      <c r="BBG5" s="132"/>
      <c r="BBH5" s="132"/>
      <c r="BBI5" s="132"/>
      <c r="BBJ5" s="132"/>
      <c r="BBK5" s="132"/>
      <c r="BBL5" s="132"/>
      <c r="BBM5" s="132"/>
      <c r="BBN5" s="132"/>
      <c r="BBO5" s="132"/>
      <c r="BBP5" s="132"/>
      <c r="BBQ5" s="132"/>
      <c r="BBR5" s="132"/>
      <c r="BBS5" s="132"/>
      <c r="BBT5" s="132"/>
      <c r="BBU5" s="132"/>
      <c r="BBV5" s="132"/>
      <c r="BBW5" s="132"/>
      <c r="BBX5" s="132"/>
      <c r="BBY5" s="132"/>
      <c r="BBZ5" s="132"/>
      <c r="BCA5" s="132"/>
      <c r="BCB5" s="132"/>
      <c r="BCC5" s="132"/>
      <c r="BCD5" s="132"/>
      <c r="BCE5" s="132"/>
      <c r="BCF5" s="132"/>
      <c r="BCG5" s="132"/>
      <c r="BCH5" s="132"/>
      <c r="BCI5" s="132"/>
      <c r="BCJ5" s="132"/>
      <c r="BCK5" s="132"/>
      <c r="BCL5" s="132"/>
      <c r="BCM5" s="132"/>
      <c r="BCN5" s="132"/>
      <c r="BCO5" s="132"/>
      <c r="BCP5" s="132"/>
      <c r="BCQ5" s="132"/>
      <c r="BCR5" s="132"/>
      <c r="BCS5" s="132"/>
      <c r="BCT5" s="132"/>
      <c r="BCU5" s="132"/>
      <c r="BCV5" s="132"/>
      <c r="BCW5" s="132"/>
      <c r="BCX5" s="132"/>
      <c r="BCY5" s="132"/>
      <c r="BCZ5" s="132"/>
      <c r="BDA5" s="132"/>
      <c r="BDB5" s="132"/>
      <c r="BDC5" s="132"/>
      <c r="BDD5" s="132"/>
      <c r="BDE5" s="132"/>
      <c r="BDF5" s="132"/>
      <c r="BDG5" s="132"/>
      <c r="BDH5" s="132"/>
      <c r="BDI5" s="132"/>
      <c r="BDJ5" s="132"/>
      <c r="BDK5" s="132"/>
      <c r="BDL5" s="132"/>
      <c r="BDM5" s="132"/>
      <c r="BDN5" s="132"/>
      <c r="BDO5" s="132"/>
      <c r="BDP5" s="132"/>
      <c r="BDQ5" s="132"/>
      <c r="BDR5" s="132"/>
      <c r="BDS5" s="132"/>
      <c r="BDT5" s="132"/>
      <c r="BDU5" s="132"/>
      <c r="BDV5" s="132"/>
      <c r="BDW5" s="132"/>
      <c r="BDX5" s="132"/>
      <c r="BDY5" s="132"/>
      <c r="BDZ5" s="132"/>
      <c r="BEA5" s="132"/>
      <c r="BEB5" s="132"/>
      <c r="BEC5" s="132"/>
      <c r="BED5" s="132"/>
      <c r="BEE5" s="132"/>
      <c r="BEF5" s="132"/>
      <c r="BEG5" s="132"/>
      <c r="BEH5" s="132"/>
      <c r="BEI5" s="132"/>
      <c r="BEJ5" s="132"/>
      <c r="BEK5" s="132"/>
      <c r="BEL5" s="132"/>
      <c r="BEM5" s="132"/>
      <c r="BEN5" s="132"/>
      <c r="BEO5" s="132"/>
      <c r="BEP5" s="132"/>
      <c r="BEQ5" s="132"/>
      <c r="BER5" s="132"/>
      <c r="BES5" s="132"/>
      <c r="BET5" s="132"/>
      <c r="BEU5" s="132"/>
      <c r="BEV5" s="132"/>
      <c r="BEW5" s="132"/>
      <c r="BEX5" s="132"/>
      <c r="BEY5" s="132"/>
      <c r="BEZ5" s="132"/>
      <c r="BFA5" s="132"/>
      <c r="BFB5" s="132"/>
      <c r="BFC5" s="132"/>
      <c r="BFD5" s="132"/>
      <c r="BFE5" s="132"/>
      <c r="BFF5" s="132"/>
      <c r="BFG5" s="132"/>
      <c r="BFH5" s="132"/>
      <c r="BFI5" s="132"/>
      <c r="BFJ5" s="132"/>
      <c r="BFK5" s="132"/>
      <c r="BFL5" s="132"/>
      <c r="BFM5" s="132"/>
      <c r="BFN5" s="132"/>
      <c r="BFO5" s="132"/>
      <c r="BFP5" s="132"/>
      <c r="BFQ5" s="132"/>
      <c r="BFR5" s="132"/>
      <c r="BFS5" s="132"/>
      <c r="BFT5" s="132"/>
      <c r="BFU5" s="132"/>
      <c r="BFV5" s="132"/>
      <c r="BFW5" s="132"/>
      <c r="BFX5" s="132"/>
      <c r="BFY5" s="132"/>
      <c r="BFZ5" s="132"/>
      <c r="BGA5" s="132"/>
      <c r="BGB5" s="132"/>
      <c r="BGC5" s="132"/>
      <c r="BGD5" s="132"/>
      <c r="BGE5" s="132"/>
      <c r="BGF5" s="132"/>
      <c r="BGG5" s="132"/>
      <c r="BGH5" s="132"/>
      <c r="BGI5" s="132"/>
      <c r="BGJ5" s="132"/>
      <c r="BGK5" s="132"/>
      <c r="BGL5" s="132"/>
      <c r="BGM5" s="132"/>
      <c r="BGN5" s="132"/>
      <c r="BGO5" s="132"/>
      <c r="BGP5" s="132"/>
      <c r="BGQ5" s="132"/>
      <c r="BGR5" s="132"/>
      <c r="BGS5" s="132"/>
      <c r="BGT5" s="132"/>
      <c r="BGU5" s="132"/>
      <c r="BGV5" s="132"/>
      <c r="BGW5" s="132"/>
      <c r="BGX5" s="132"/>
      <c r="BGY5" s="132"/>
      <c r="BGZ5" s="132"/>
      <c r="BHA5" s="132"/>
      <c r="BHB5" s="132"/>
      <c r="BHC5" s="132"/>
      <c r="BHD5" s="132"/>
      <c r="BHE5" s="132"/>
      <c r="BHF5" s="132"/>
      <c r="BHG5" s="132"/>
      <c r="BHH5" s="132"/>
      <c r="BHI5" s="132"/>
      <c r="BHJ5" s="132"/>
      <c r="BHK5" s="132"/>
      <c r="BHL5" s="132"/>
      <c r="BHM5" s="132"/>
      <c r="BHN5" s="132"/>
      <c r="BHO5" s="132"/>
      <c r="BHP5" s="132"/>
      <c r="BHQ5" s="132"/>
      <c r="BHR5" s="132"/>
      <c r="BHS5" s="132"/>
      <c r="BHT5" s="132"/>
      <c r="BHU5" s="132"/>
      <c r="BHV5" s="132"/>
      <c r="BHW5" s="132"/>
      <c r="BHX5" s="132"/>
      <c r="BHY5" s="132"/>
      <c r="BHZ5" s="132"/>
      <c r="BIA5" s="132"/>
      <c r="BIB5" s="132"/>
      <c r="BIC5" s="132"/>
      <c r="BID5" s="132"/>
      <c r="BIE5" s="132"/>
      <c r="BIF5" s="132"/>
      <c r="BIG5" s="132"/>
      <c r="BIH5" s="132"/>
      <c r="BII5" s="132"/>
      <c r="BIJ5" s="132"/>
      <c r="BIK5" s="132"/>
      <c r="BIL5" s="132"/>
      <c r="BIM5" s="132"/>
      <c r="BIN5" s="132"/>
      <c r="BIO5" s="132"/>
      <c r="BIP5" s="132"/>
      <c r="BIQ5" s="132"/>
      <c r="BIR5" s="132"/>
      <c r="BIS5" s="132"/>
      <c r="BIT5" s="132"/>
      <c r="BIU5" s="132"/>
      <c r="BIV5" s="132"/>
      <c r="BIW5" s="132"/>
      <c r="BIX5" s="132"/>
      <c r="BIY5" s="132"/>
      <c r="BIZ5" s="132"/>
      <c r="BJA5" s="132"/>
      <c r="BJB5" s="132"/>
      <c r="BJC5" s="132"/>
      <c r="BJD5" s="132"/>
      <c r="BJE5" s="132"/>
      <c r="BJF5" s="132"/>
      <c r="BJG5" s="132"/>
      <c r="BJH5" s="132"/>
      <c r="BJI5" s="132"/>
      <c r="BJJ5" s="132"/>
      <c r="BJK5" s="132"/>
      <c r="BJL5" s="132"/>
      <c r="BJM5" s="132"/>
      <c r="BJN5" s="132"/>
      <c r="BJO5" s="132"/>
      <c r="BJP5" s="132"/>
      <c r="BJQ5" s="132"/>
      <c r="BJR5" s="132"/>
      <c r="BJS5" s="132"/>
      <c r="BJT5" s="132"/>
      <c r="BJU5" s="132"/>
      <c r="BJV5" s="132"/>
      <c r="BJW5" s="132"/>
      <c r="BJX5" s="132"/>
      <c r="BJY5" s="132"/>
      <c r="BJZ5" s="132"/>
      <c r="BKA5" s="132"/>
      <c r="BKB5" s="132"/>
      <c r="BKC5" s="132"/>
      <c r="BKD5" s="132"/>
      <c r="BKE5" s="132"/>
      <c r="BKF5" s="132"/>
      <c r="BKG5" s="132"/>
      <c r="BKH5" s="132"/>
      <c r="BKI5" s="132"/>
      <c r="BKJ5" s="132"/>
      <c r="BKK5" s="132"/>
      <c r="BKL5" s="132"/>
      <c r="BKM5" s="132"/>
      <c r="BKN5" s="132"/>
      <c r="BKO5" s="132"/>
      <c r="BKP5" s="132"/>
      <c r="BKQ5" s="132"/>
      <c r="BKR5" s="132"/>
      <c r="BKS5" s="132"/>
      <c r="BKT5" s="132"/>
      <c r="BKU5" s="132"/>
      <c r="BKV5" s="132"/>
      <c r="BKW5" s="132"/>
      <c r="BKX5" s="132"/>
      <c r="BKY5" s="132"/>
      <c r="BKZ5" s="132"/>
      <c r="BLA5" s="132"/>
      <c r="BLB5" s="132"/>
      <c r="BLC5" s="132"/>
      <c r="BLD5" s="132"/>
      <c r="BLE5" s="132"/>
      <c r="BLF5" s="132"/>
      <c r="BLG5" s="132"/>
      <c r="BLH5" s="132"/>
      <c r="BLI5" s="132"/>
      <c r="BLJ5" s="132"/>
      <c r="BLK5" s="132"/>
      <c r="BLL5" s="132"/>
      <c r="BLM5" s="132"/>
      <c r="BLN5" s="132"/>
      <c r="BLO5" s="132"/>
      <c r="BLP5" s="132"/>
      <c r="BLQ5" s="132"/>
      <c r="BLR5" s="132"/>
      <c r="BLS5" s="132"/>
      <c r="BLT5" s="132"/>
      <c r="BLU5" s="132"/>
      <c r="BLV5" s="132"/>
      <c r="BLW5" s="132"/>
      <c r="BLX5" s="132"/>
      <c r="BLY5" s="132"/>
      <c r="BLZ5" s="132"/>
      <c r="BMA5" s="132"/>
      <c r="BMB5" s="132"/>
      <c r="BMC5" s="132"/>
      <c r="BMD5" s="132"/>
      <c r="BME5" s="132"/>
      <c r="BMF5" s="132"/>
      <c r="BMG5" s="132"/>
      <c r="BMH5" s="132"/>
      <c r="BMI5" s="132"/>
      <c r="BMJ5" s="132"/>
      <c r="BMK5" s="132"/>
      <c r="BML5" s="132"/>
      <c r="BMM5" s="132"/>
      <c r="BMN5" s="132"/>
      <c r="BMO5" s="132"/>
      <c r="BMP5" s="132"/>
      <c r="BMQ5" s="132"/>
      <c r="BMR5" s="132"/>
      <c r="BMS5" s="132"/>
      <c r="BMT5" s="132"/>
      <c r="BMU5" s="132"/>
      <c r="BMV5" s="132"/>
      <c r="BMW5" s="132"/>
      <c r="BMX5" s="132"/>
      <c r="BMY5" s="132"/>
      <c r="BMZ5" s="132"/>
      <c r="BNA5" s="132"/>
      <c r="BNB5" s="132"/>
      <c r="BNC5" s="132"/>
      <c r="BND5" s="132"/>
      <c r="BNE5" s="132"/>
      <c r="BNF5" s="132"/>
      <c r="BNG5" s="132"/>
      <c r="BNH5" s="132"/>
      <c r="BNI5" s="132"/>
      <c r="BNJ5" s="132"/>
      <c r="BNK5" s="132"/>
      <c r="BNL5" s="132"/>
      <c r="BNM5" s="132"/>
      <c r="BNN5" s="132"/>
      <c r="BNO5" s="132"/>
      <c r="BNP5" s="132"/>
      <c r="BNQ5" s="132"/>
      <c r="BNR5" s="132"/>
      <c r="BNS5" s="132"/>
      <c r="BNT5" s="132"/>
      <c r="BNU5" s="132"/>
      <c r="BNV5" s="132"/>
      <c r="BNW5" s="132"/>
      <c r="BNX5" s="132"/>
      <c r="BNY5" s="132"/>
      <c r="BNZ5" s="132"/>
      <c r="BOA5" s="132"/>
      <c r="BOB5" s="132"/>
      <c r="BOC5" s="132"/>
      <c r="BOD5" s="132"/>
      <c r="BOE5" s="132"/>
      <c r="BOF5" s="132"/>
      <c r="BOG5" s="132"/>
      <c r="BOH5" s="132"/>
      <c r="BOI5" s="132"/>
      <c r="BOJ5" s="132"/>
      <c r="BOK5" s="132"/>
      <c r="BOL5" s="132"/>
      <c r="BOM5" s="132"/>
      <c r="BON5" s="132"/>
      <c r="BOO5" s="132"/>
      <c r="BOP5" s="132"/>
      <c r="BOQ5" s="132"/>
      <c r="BOR5" s="132"/>
      <c r="BOS5" s="132"/>
      <c r="BOT5" s="132"/>
      <c r="BOU5" s="132"/>
      <c r="BOV5" s="132"/>
      <c r="BOW5" s="132"/>
      <c r="BOX5" s="132"/>
      <c r="BOY5" s="132"/>
      <c r="BOZ5" s="132"/>
      <c r="BPA5" s="132"/>
      <c r="BPB5" s="132"/>
      <c r="BPC5" s="132"/>
      <c r="BPD5" s="132"/>
      <c r="BPE5" s="132"/>
      <c r="BPF5" s="132"/>
      <c r="BPG5" s="132"/>
      <c r="BPH5" s="132"/>
      <c r="BPI5" s="132"/>
      <c r="BPJ5" s="132"/>
      <c r="BPK5" s="132"/>
      <c r="BPL5" s="132"/>
      <c r="BPM5" s="132"/>
      <c r="BPN5" s="132"/>
      <c r="BPO5" s="132"/>
      <c r="BPP5" s="132"/>
      <c r="BPQ5" s="132"/>
      <c r="BPR5" s="132"/>
      <c r="BPS5" s="132"/>
      <c r="BPT5" s="132"/>
      <c r="BPU5" s="132"/>
      <c r="BPV5" s="132"/>
      <c r="BPW5" s="132"/>
      <c r="BPX5" s="132"/>
      <c r="BPY5" s="132"/>
      <c r="BPZ5" s="132"/>
      <c r="BQA5" s="132"/>
      <c r="BQB5" s="132"/>
      <c r="BQC5" s="132"/>
      <c r="BQD5" s="132"/>
      <c r="BQE5" s="132"/>
      <c r="BQF5" s="132"/>
      <c r="BQG5" s="132"/>
      <c r="BQH5" s="132"/>
      <c r="BQI5" s="132"/>
      <c r="BQJ5" s="132"/>
      <c r="BQK5" s="132"/>
      <c r="BQL5" s="132"/>
      <c r="BQM5" s="132"/>
      <c r="BQN5" s="132"/>
      <c r="BQO5" s="132"/>
      <c r="BQP5" s="132"/>
      <c r="BQQ5" s="132"/>
      <c r="BQR5" s="132"/>
      <c r="BQS5" s="132"/>
      <c r="BQT5" s="132"/>
      <c r="BQU5" s="132"/>
      <c r="BQV5" s="132"/>
      <c r="BQW5" s="132"/>
      <c r="BQX5" s="132"/>
      <c r="BQY5" s="132"/>
      <c r="BQZ5" s="132"/>
      <c r="BRA5" s="132"/>
      <c r="BRB5" s="132"/>
      <c r="BRC5" s="132"/>
      <c r="BRD5" s="132"/>
      <c r="BRE5" s="132"/>
      <c r="BRF5" s="132"/>
      <c r="BRG5" s="132"/>
      <c r="BRH5" s="132"/>
      <c r="BRI5" s="132"/>
      <c r="BRJ5" s="132"/>
      <c r="BRK5" s="132"/>
      <c r="BRL5" s="132"/>
      <c r="BRM5" s="132"/>
      <c r="BRN5" s="132"/>
      <c r="BRO5" s="132"/>
      <c r="BRP5" s="132"/>
      <c r="BRQ5" s="132"/>
      <c r="BRR5" s="132"/>
      <c r="BRS5" s="132"/>
      <c r="BRT5" s="132"/>
      <c r="BRU5" s="132"/>
      <c r="BRV5" s="132"/>
      <c r="BRW5" s="132"/>
      <c r="BRX5" s="132"/>
      <c r="BRY5" s="132"/>
      <c r="BRZ5" s="132"/>
      <c r="BSA5" s="132"/>
      <c r="BSB5" s="132"/>
      <c r="BSC5" s="132"/>
      <c r="BSD5" s="132"/>
      <c r="BSE5" s="132"/>
      <c r="BSF5" s="132"/>
      <c r="BSG5" s="132"/>
      <c r="BSH5" s="132"/>
      <c r="BSI5" s="132"/>
      <c r="BSJ5" s="132"/>
      <c r="BSK5" s="132"/>
      <c r="BSL5" s="132"/>
      <c r="BSM5" s="132"/>
      <c r="BSN5" s="132"/>
      <c r="BSO5" s="132"/>
      <c r="BSP5" s="132"/>
      <c r="BSQ5" s="132"/>
      <c r="BSR5" s="132"/>
      <c r="BSS5" s="132"/>
      <c r="BST5" s="132"/>
      <c r="BSU5" s="132"/>
      <c r="BSV5" s="132"/>
      <c r="BSW5" s="132"/>
      <c r="BSX5" s="132"/>
      <c r="BSY5" s="132"/>
      <c r="BSZ5" s="132"/>
      <c r="BTA5" s="132"/>
      <c r="BTB5" s="132"/>
      <c r="BTC5" s="132"/>
      <c r="BTD5" s="132"/>
      <c r="BTE5" s="132"/>
      <c r="BTF5" s="132"/>
      <c r="BTG5" s="132"/>
      <c r="BTH5" s="132"/>
      <c r="BTI5" s="132"/>
      <c r="BTJ5" s="132"/>
      <c r="BTK5" s="132"/>
      <c r="BTL5" s="132"/>
      <c r="BTM5" s="132"/>
      <c r="BTN5" s="132"/>
      <c r="BTO5" s="132"/>
      <c r="BTP5" s="132"/>
      <c r="BTQ5" s="132"/>
      <c r="BTR5" s="132"/>
      <c r="BTS5" s="132"/>
      <c r="BTT5" s="132"/>
      <c r="BTU5" s="132"/>
      <c r="BTV5" s="132"/>
      <c r="BTW5" s="132"/>
      <c r="BTX5" s="132"/>
      <c r="BTY5" s="132"/>
      <c r="BTZ5" s="132"/>
      <c r="BUA5" s="132"/>
      <c r="BUB5" s="132"/>
      <c r="BUC5" s="132"/>
      <c r="BUD5" s="132"/>
      <c r="BUE5" s="132"/>
      <c r="BUF5" s="132"/>
      <c r="BUG5" s="132"/>
      <c r="BUH5" s="132"/>
      <c r="BUI5" s="132"/>
      <c r="BUJ5" s="132"/>
      <c r="BUK5" s="132"/>
      <c r="BUL5" s="132"/>
      <c r="BUM5" s="132"/>
      <c r="BUN5" s="132"/>
      <c r="BUO5" s="132"/>
      <c r="BUP5" s="132"/>
      <c r="BUQ5" s="132"/>
      <c r="BUR5" s="132"/>
      <c r="BUS5" s="132"/>
      <c r="BUT5" s="132"/>
      <c r="BUU5" s="132"/>
      <c r="BUV5" s="132"/>
      <c r="BUW5" s="132"/>
      <c r="BUX5" s="132"/>
      <c r="BUY5" s="132"/>
      <c r="BUZ5" s="132"/>
      <c r="BVA5" s="132"/>
      <c r="BVB5" s="132"/>
      <c r="BVC5" s="132"/>
      <c r="BVD5" s="132"/>
      <c r="BVE5" s="132"/>
      <c r="BVF5" s="132"/>
      <c r="BVG5" s="132"/>
      <c r="BVH5" s="132"/>
      <c r="BVI5" s="132"/>
      <c r="BVJ5" s="132"/>
      <c r="BVK5" s="132"/>
      <c r="BVL5" s="132"/>
      <c r="BVM5" s="132"/>
      <c r="BVN5" s="132"/>
      <c r="BVO5" s="132"/>
      <c r="BVP5" s="132"/>
      <c r="BVQ5" s="132"/>
      <c r="BVR5" s="132"/>
      <c r="BVS5" s="132"/>
      <c r="BVT5" s="132"/>
      <c r="BVU5" s="132"/>
      <c r="BVV5" s="132"/>
      <c r="BVW5" s="132"/>
      <c r="BVX5" s="132"/>
      <c r="BVY5" s="132"/>
      <c r="BVZ5" s="132"/>
      <c r="BWA5" s="132"/>
      <c r="BWB5" s="132"/>
      <c r="BWC5" s="132"/>
      <c r="BWD5" s="132"/>
      <c r="BWE5" s="132"/>
      <c r="BWF5" s="132"/>
      <c r="BWG5" s="132"/>
      <c r="BWH5" s="132"/>
      <c r="BWI5" s="132"/>
      <c r="BWJ5" s="132"/>
      <c r="BWK5" s="132"/>
      <c r="BWL5" s="132"/>
      <c r="BWM5" s="132"/>
      <c r="BWN5" s="132"/>
      <c r="BWO5" s="132"/>
      <c r="BWP5" s="132"/>
      <c r="BWQ5" s="132"/>
      <c r="BWR5" s="132"/>
      <c r="BWS5" s="132"/>
      <c r="BWT5" s="132"/>
      <c r="BWU5" s="132"/>
      <c r="BWV5" s="132"/>
      <c r="BWW5" s="132"/>
      <c r="BWX5" s="132"/>
      <c r="BWY5" s="132"/>
      <c r="BWZ5" s="132"/>
      <c r="BXA5" s="132"/>
      <c r="BXB5" s="132"/>
      <c r="BXC5" s="132"/>
      <c r="BXD5" s="132"/>
      <c r="BXE5" s="132"/>
      <c r="BXF5" s="132"/>
      <c r="BXG5" s="132"/>
      <c r="BXH5" s="132"/>
      <c r="BXI5" s="132"/>
      <c r="BXJ5" s="132"/>
      <c r="BXK5" s="132"/>
      <c r="BXL5" s="132"/>
      <c r="BXM5" s="132"/>
      <c r="BXN5" s="132"/>
      <c r="BXO5" s="132"/>
      <c r="BXP5" s="132"/>
      <c r="BXQ5" s="132"/>
      <c r="BXR5" s="132"/>
      <c r="BXS5" s="132"/>
      <c r="BXT5" s="132"/>
      <c r="BXU5" s="132"/>
      <c r="BXV5" s="132"/>
      <c r="BXW5" s="132"/>
      <c r="BXX5" s="132"/>
      <c r="BXY5" s="132"/>
      <c r="BXZ5" s="132"/>
      <c r="BYA5" s="132"/>
      <c r="BYB5" s="132"/>
      <c r="BYC5" s="132"/>
      <c r="BYD5" s="132"/>
      <c r="BYE5" s="132"/>
      <c r="BYF5" s="132"/>
      <c r="BYG5" s="132"/>
      <c r="BYH5" s="132"/>
      <c r="BYI5" s="132"/>
      <c r="BYJ5" s="132"/>
      <c r="BYK5" s="132"/>
      <c r="BYL5" s="132"/>
      <c r="BYM5" s="132"/>
      <c r="BYN5" s="132"/>
      <c r="BYO5" s="132"/>
      <c r="BYP5" s="132"/>
      <c r="BYQ5" s="132"/>
      <c r="BYR5" s="132"/>
      <c r="BYS5" s="132"/>
      <c r="BYT5" s="132"/>
      <c r="BYU5" s="132"/>
      <c r="BYV5" s="132"/>
      <c r="BYW5" s="132"/>
      <c r="BYX5" s="132"/>
      <c r="BYY5" s="132"/>
      <c r="BYZ5" s="132"/>
      <c r="BZA5" s="132"/>
      <c r="BZB5" s="132"/>
      <c r="BZC5" s="132"/>
      <c r="BZD5" s="132"/>
      <c r="BZE5" s="132"/>
      <c r="BZF5" s="132"/>
      <c r="BZG5" s="132"/>
      <c r="BZH5" s="132"/>
      <c r="BZI5" s="132"/>
      <c r="BZJ5" s="132"/>
      <c r="BZK5" s="132"/>
      <c r="BZL5" s="132"/>
      <c r="BZM5" s="132"/>
      <c r="BZN5" s="132"/>
      <c r="BZO5" s="132"/>
      <c r="BZP5" s="132"/>
      <c r="BZQ5" s="132"/>
      <c r="BZR5" s="132"/>
      <c r="BZS5" s="132"/>
      <c r="BZT5" s="132"/>
      <c r="BZU5" s="132"/>
      <c r="BZV5" s="132"/>
      <c r="BZW5" s="132"/>
      <c r="BZX5" s="132"/>
      <c r="BZY5" s="132"/>
      <c r="BZZ5" s="132"/>
      <c r="CAA5" s="132"/>
      <c r="CAB5" s="132"/>
      <c r="CAC5" s="132"/>
      <c r="CAD5" s="132"/>
      <c r="CAE5" s="132"/>
      <c r="CAF5" s="132"/>
      <c r="CAG5" s="132"/>
      <c r="CAH5" s="132"/>
      <c r="CAI5" s="132"/>
      <c r="CAJ5" s="132"/>
      <c r="CAK5" s="132"/>
      <c r="CAL5" s="132"/>
      <c r="CAM5" s="132"/>
      <c r="CAN5" s="132"/>
      <c r="CAO5" s="132"/>
      <c r="CAP5" s="132"/>
      <c r="CAQ5" s="132"/>
      <c r="CAR5" s="132"/>
      <c r="CAS5" s="132"/>
      <c r="CAT5" s="132"/>
      <c r="CAU5" s="132"/>
      <c r="CAV5" s="132"/>
      <c r="CAW5" s="132"/>
      <c r="CAX5" s="132"/>
      <c r="CAY5" s="132"/>
      <c r="CAZ5" s="132"/>
      <c r="CBA5" s="132"/>
      <c r="CBB5" s="132"/>
      <c r="CBC5" s="132"/>
      <c r="CBD5" s="132"/>
      <c r="CBE5" s="132"/>
      <c r="CBF5" s="132"/>
      <c r="CBG5" s="132"/>
      <c r="CBH5" s="132"/>
      <c r="CBI5" s="132"/>
      <c r="CBJ5" s="132"/>
      <c r="CBK5" s="132"/>
      <c r="CBL5" s="132"/>
      <c r="CBM5" s="132"/>
      <c r="CBN5" s="132"/>
      <c r="CBO5" s="132"/>
      <c r="CBP5" s="132"/>
      <c r="CBQ5" s="132"/>
      <c r="CBR5" s="132"/>
      <c r="CBS5" s="132"/>
      <c r="CBT5" s="132"/>
      <c r="CBU5" s="132"/>
      <c r="CBV5" s="132"/>
      <c r="CBW5" s="132"/>
      <c r="CBX5" s="132"/>
      <c r="CBY5" s="132"/>
      <c r="CBZ5" s="132"/>
      <c r="CCA5" s="132"/>
      <c r="CCB5" s="132"/>
      <c r="CCC5" s="132"/>
      <c r="CCD5" s="132"/>
      <c r="CCE5" s="132"/>
      <c r="CCF5" s="132"/>
      <c r="CCG5" s="132"/>
      <c r="CCH5" s="132"/>
      <c r="CCI5" s="132"/>
      <c r="CCJ5" s="132"/>
      <c r="CCK5" s="132"/>
      <c r="CCL5" s="132"/>
      <c r="CCM5" s="132"/>
      <c r="CCN5" s="132"/>
      <c r="CCO5" s="132"/>
      <c r="CCP5" s="132"/>
      <c r="CCQ5" s="132"/>
      <c r="CCR5" s="132"/>
      <c r="CCS5" s="132"/>
      <c r="CCT5" s="132"/>
      <c r="CCU5" s="132"/>
      <c r="CCV5" s="132"/>
      <c r="CCW5" s="132"/>
      <c r="CCX5" s="132"/>
      <c r="CCY5" s="132"/>
      <c r="CCZ5" s="132"/>
      <c r="CDA5" s="132"/>
      <c r="CDB5" s="132"/>
      <c r="CDC5" s="132"/>
      <c r="CDD5" s="132"/>
      <c r="CDE5" s="132"/>
      <c r="CDF5" s="132"/>
      <c r="CDG5" s="132"/>
      <c r="CDH5" s="132"/>
      <c r="CDI5" s="132"/>
      <c r="CDJ5" s="132"/>
      <c r="CDK5" s="132"/>
      <c r="CDL5" s="132"/>
      <c r="CDM5" s="132"/>
      <c r="CDN5" s="132"/>
      <c r="CDO5" s="132"/>
      <c r="CDP5" s="132"/>
      <c r="CDQ5" s="132"/>
      <c r="CDR5" s="132"/>
      <c r="CDS5" s="132"/>
      <c r="CDT5" s="132"/>
      <c r="CDU5" s="132"/>
      <c r="CDV5" s="132"/>
      <c r="CDW5" s="132"/>
      <c r="CDX5" s="132"/>
      <c r="CDY5" s="132"/>
      <c r="CDZ5" s="132"/>
      <c r="CEA5" s="132"/>
      <c r="CEB5" s="132"/>
      <c r="CEC5" s="132"/>
      <c r="CED5" s="132"/>
      <c r="CEE5" s="132"/>
      <c r="CEF5" s="132"/>
      <c r="CEG5" s="132"/>
      <c r="CEH5" s="132"/>
      <c r="CEI5" s="132"/>
      <c r="CEJ5" s="132"/>
      <c r="CEK5" s="132"/>
      <c r="CEL5" s="132"/>
      <c r="CEM5" s="132"/>
      <c r="CEN5" s="132"/>
      <c r="CEO5" s="132"/>
      <c r="CEP5" s="132"/>
      <c r="CEQ5" s="132"/>
      <c r="CER5" s="132"/>
      <c r="CES5" s="132"/>
      <c r="CET5" s="132"/>
      <c r="CEU5" s="132"/>
      <c r="CEV5" s="132"/>
      <c r="CEW5" s="132"/>
      <c r="CEX5" s="132"/>
      <c r="CEY5" s="132"/>
      <c r="CEZ5" s="132"/>
      <c r="CFA5" s="132"/>
      <c r="CFB5" s="132"/>
      <c r="CFC5" s="132"/>
      <c r="CFD5" s="132"/>
      <c r="CFE5" s="132"/>
      <c r="CFF5" s="132"/>
      <c r="CFG5" s="132"/>
      <c r="CFH5" s="132"/>
      <c r="CFI5" s="132"/>
      <c r="CFJ5" s="132"/>
      <c r="CFK5" s="132"/>
      <c r="CFL5" s="132"/>
      <c r="CFM5" s="132"/>
      <c r="CFN5" s="132"/>
      <c r="CFO5" s="132"/>
      <c r="CFP5" s="132"/>
      <c r="CFQ5" s="132"/>
      <c r="CFR5" s="132"/>
      <c r="CFS5" s="132"/>
      <c r="CFT5" s="132"/>
      <c r="CFU5" s="132"/>
      <c r="CFV5" s="132"/>
      <c r="CFW5" s="132"/>
      <c r="CFX5" s="132"/>
      <c r="CFY5" s="132"/>
      <c r="CFZ5" s="132"/>
      <c r="CGA5" s="132"/>
      <c r="CGB5" s="132"/>
      <c r="CGC5" s="132"/>
      <c r="CGD5" s="132"/>
      <c r="CGE5" s="132"/>
      <c r="CGF5" s="132"/>
      <c r="CGG5" s="132"/>
      <c r="CGH5" s="132"/>
      <c r="CGI5" s="132"/>
      <c r="CGJ5" s="132"/>
      <c r="CGK5" s="132"/>
      <c r="CGL5" s="132"/>
      <c r="CGM5" s="132"/>
      <c r="CGN5" s="132"/>
      <c r="CGO5" s="132"/>
      <c r="CGP5" s="132"/>
      <c r="CGQ5" s="132"/>
      <c r="CGR5" s="132"/>
      <c r="CGS5" s="132"/>
      <c r="CGT5" s="132"/>
      <c r="CGU5" s="132"/>
      <c r="CGV5" s="132"/>
      <c r="CGW5" s="132"/>
      <c r="CGX5" s="132"/>
      <c r="CGY5" s="132"/>
      <c r="CGZ5" s="132"/>
      <c r="CHA5" s="132"/>
      <c r="CHB5" s="132"/>
      <c r="CHC5" s="132"/>
      <c r="CHD5" s="132"/>
      <c r="CHE5" s="132"/>
      <c r="CHF5" s="132"/>
      <c r="CHG5" s="132"/>
      <c r="CHH5" s="132"/>
      <c r="CHI5" s="132"/>
      <c r="CHJ5" s="132"/>
      <c r="CHK5" s="132"/>
      <c r="CHL5" s="132"/>
      <c r="CHM5" s="132"/>
      <c r="CHN5" s="132"/>
      <c r="CHO5" s="132"/>
      <c r="CHP5" s="132"/>
      <c r="CHQ5" s="132"/>
      <c r="CHR5" s="132"/>
      <c r="CHS5" s="132"/>
      <c r="CHT5" s="132"/>
      <c r="CHU5" s="132"/>
      <c r="CHV5" s="132"/>
      <c r="CHW5" s="132"/>
      <c r="CHX5" s="132"/>
      <c r="CHY5" s="132"/>
      <c r="CHZ5" s="132"/>
      <c r="CIA5" s="132"/>
      <c r="CIB5" s="132"/>
      <c r="CIC5" s="132"/>
      <c r="CID5" s="132"/>
      <c r="CIE5" s="132"/>
      <c r="CIF5" s="132"/>
      <c r="CIG5" s="132"/>
      <c r="CIH5" s="132"/>
      <c r="CII5" s="132"/>
      <c r="CIJ5" s="132"/>
      <c r="CIK5" s="132"/>
      <c r="CIL5" s="132"/>
      <c r="CIM5" s="132"/>
      <c r="CIN5" s="132"/>
      <c r="CIO5" s="132"/>
      <c r="CIP5" s="132"/>
      <c r="CIQ5" s="132"/>
      <c r="CIR5" s="132"/>
      <c r="CIS5" s="132"/>
      <c r="CIT5" s="132"/>
      <c r="CIU5" s="132"/>
      <c r="CIV5" s="132"/>
      <c r="CIW5" s="132"/>
      <c r="CIX5" s="132"/>
      <c r="CIY5" s="132"/>
      <c r="CIZ5" s="132"/>
      <c r="CJA5" s="132"/>
      <c r="CJB5" s="132"/>
      <c r="CJC5" s="132"/>
      <c r="CJD5" s="132"/>
      <c r="CJE5" s="132"/>
      <c r="CJF5" s="132"/>
      <c r="CJG5" s="132"/>
      <c r="CJH5" s="132"/>
      <c r="CJI5" s="132"/>
      <c r="CJJ5" s="132"/>
      <c r="CJK5" s="132"/>
      <c r="CJL5" s="132"/>
      <c r="CJM5" s="132"/>
      <c r="CJN5" s="132"/>
      <c r="CJO5" s="132"/>
      <c r="CJP5" s="132"/>
      <c r="CJQ5" s="132"/>
      <c r="CJR5" s="132"/>
      <c r="CJS5" s="132"/>
      <c r="CJT5" s="132"/>
      <c r="CJU5" s="132"/>
      <c r="CJV5" s="132"/>
      <c r="CJW5" s="132"/>
      <c r="CJX5" s="132"/>
      <c r="CJY5" s="132"/>
      <c r="CJZ5" s="132"/>
      <c r="CKA5" s="132"/>
      <c r="CKB5" s="132"/>
      <c r="CKC5" s="132"/>
      <c r="CKD5" s="132"/>
      <c r="CKE5" s="132"/>
      <c r="CKF5" s="132"/>
      <c r="CKG5" s="132"/>
      <c r="CKH5" s="132"/>
      <c r="CKI5" s="132"/>
      <c r="CKJ5" s="132"/>
      <c r="CKK5" s="132"/>
      <c r="CKL5" s="132"/>
      <c r="CKM5" s="132"/>
      <c r="CKN5" s="132"/>
      <c r="CKO5" s="132"/>
      <c r="CKP5" s="132"/>
      <c r="CKQ5" s="132"/>
      <c r="CKR5" s="132"/>
      <c r="CKS5" s="132"/>
      <c r="CKT5" s="132"/>
      <c r="CKU5" s="132"/>
      <c r="CKV5" s="132"/>
      <c r="CKW5" s="132"/>
      <c r="CKX5" s="132"/>
      <c r="CKY5" s="132"/>
      <c r="CKZ5" s="132"/>
      <c r="CLA5" s="132"/>
      <c r="CLB5" s="132"/>
      <c r="CLC5" s="132"/>
      <c r="CLD5" s="132"/>
      <c r="CLE5" s="132"/>
      <c r="CLF5" s="132"/>
      <c r="CLG5" s="132"/>
      <c r="CLH5" s="132"/>
      <c r="CLI5" s="132"/>
      <c r="CLJ5" s="132"/>
      <c r="CLK5" s="132"/>
      <c r="CLL5" s="132"/>
      <c r="CLM5" s="132"/>
      <c r="CLN5" s="132"/>
      <c r="CLO5" s="132"/>
      <c r="CLP5" s="132"/>
      <c r="CLQ5" s="132"/>
      <c r="CLR5" s="132"/>
      <c r="CLS5" s="132"/>
      <c r="CLT5" s="132"/>
      <c r="CLU5" s="132"/>
      <c r="CLV5" s="132"/>
      <c r="CLW5" s="132"/>
      <c r="CLX5" s="132"/>
      <c r="CLY5" s="132"/>
      <c r="CLZ5" s="132"/>
      <c r="CMA5" s="132"/>
      <c r="CMB5" s="132"/>
      <c r="CMC5" s="132"/>
      <c r="CMD5" s="132"/>
      <c r="CME5" s="132"/>
      <c r="CMF5" s="132"/>
      <c r="CMG5" s="132"/>
      <c r="CMH5" s="132"/>
      <c r="CMI5" s="132"/>
      <c r="CMJ5" s="132"/>
      <c r="CMK5" s="132"/>
      <c r="CML5" s="132"/>
      <c r="CMM5" s="132"/>
      <c r="CMN5" s="132"/>
      <c r="CMO5" s="132"/>
      <c r="CMP5" s="132"/>
      <c r="CMQ5" s="132"/>
      <c r="CMR5" s="132"/>
      <c r="CMS5" s="132"/>
      <c r="CMT5" s="132"/>
      <c r="CMU5" s="132"/>
      <c r="CMV5" s="132"/>
      <c r="CMW5" s="132"/>
      <c r="CMX5" s="132"/>
      <c r="CMY5" s="132"/>
      <c r="CMZ5" s="132"/>
      <c r="CNA5" s="132"/>
      <c r="CNB5" s="132"/>
      <c r="CNC5" s="132"/>
      <c r="CND5" s="132"/>
      <c r="CNE5" s="132"/>
      <c r="CNF5" s="132"/>
      <c r="CNG5" s="132"/>
      <c r="CNH5" s="132"/>
      <c r="CNI5" s="132"/>
      <c r="CNJ5" s="132"/>
      <c r="CNK5" s="132"/>
      <c r="CNL5" s="132"/>
      <c r="CNM5" s="132"/>
      <c r="CNN5" s="132"/>
      <c r="CNO5" s="132"/>
      <c r="CNP5" s="132"/>
      <c r="CNQ5" s="132"/>
      <c r="CNR5" s="132"/>
      <c r="CNS5" s="132"/>
      <c r="CNT5" s="132"/>
      <c r="CNU5" s="132"/>
      <c r="CNV5" s="132"/>
      <c r="CNW5" s="132"/>
      <c r="CNX5" s="132"/>
      <c r="CNY5" s="132"/>
      <c r="CNZ5" s="132"/>
      <c r="COA5" s="132"/>
      <c r="COB5" s="132"/>
      <c r="COC5" s="132"/>
      <c r="COD5" s="132"/>
      <c r="COE5" s="132"/>
      <c r="COF5" s="132"/>
      <c r="COG5" s="132"/>
      <c r="COH5" s="132"/>
      <c r="COI5" s="132"/>
      <c r="COJ5" s="132"/>
      <c r="COK5" s="132"/>
      <c r="COL5" s="132"/>
      <c r="COM5" s="132"/>
      <c r="CON5" s="132"/>
      <c r="COO5" s="132"/>
      <c r="COP5" s="132"/>
      <c r="COQ5" s="132"/>
      <c r="COR5" s="132"/>
      <c r="COS5" s="132"/>
      <c r="COT5" s="132"/>
      <c r="COU5" s="132"/>
      <c r="COV5" s="132"/>
      <c r="COW5" s="132"/>
      <c r="COX5" s="132"/>
      <c r="COY5" s="132"/>
      <c r="COZ5" s="132"/>
      <c r="CPA5" s="132"/>
      <c r="CPB5" s="132"/>
      <c r="CPC5" s="132"/>
      <c r="CPD5" s="132"/>
      <c r="CPE5" s="132"/>
      <c r="CPF5" s="132"/>
      <c r="CPG5" s="132"/>
      <c r="CPH5" s="132"/>
      <c r="CPI5" s="132"/>
      <c r="CPJ5" s="132"/>
      <c r="CPK5" s="132"/>
      <c r="CPL5" s="132"/>
      <c r="CPM5" s="132"/>
      <c r="CPN5" s="132"/>
      <c r="CPO5" s="132"/>
      <c r="CPP5" s="132"/>
      <c r="CPQ5" s="132"/>
      <c r="CPR5" s="132"/>
      <c r="CPS5" s="132"/>
      <c r="CPT5" s="132"/>
      <c r="CPU5" s="132"/>
      <c r="CPV5" s="132"/>
      <c r="CPW5" s="132"/>
      <c r="CPX5" s="132"/>
      <c r="CPY5" s="132"/>
      <c r="CPZ5" s="132"/>
      <c r="CQA5" s="132"/>
      <c r="CQB5" s="132"/>
      <c r="CQC5" s="132"/>
      <c r="CQD5" s="132"/>
      <c r="CQE5" s="132"/>
      <c r="CQF5" s="132"/>
      <c r="CQG5" s="132"/>
      <c r="CQH5" s="132"/>
      <c r="CQI5" s="132"/>
      <c r="CQJ5" s="132"/>
      <c r="CQK5" s="132"/>
      <c r="CQL5" s="132"/>
      <c r="CQM5" s="132"/>
      <c r="CQN5" s="132"/>
      <c r="CQO5" s="132"/>
      <c r="CQP5" s="132"/>
      <c r="CQQ5" s="132"/>
      <c r="CQR5" s="132"/>
      <c r="CQS5" s="132"/>
      <c r="CQT5" s="132"/>
      <c r="CQU5" s="132"/>
      <c r="CQV5" s="132"/>
      <c r="CQW5" s="132"/>
      <c r="CQX5" s="132"/>
      <c r="CQY5" s="132"/>
      <c r="CQZ5" s="132"/>
      <c r="CRA5" s="132"/>
      <c r="CRB5" s="132"/>
      <c r="CRC5" s="132"/>
      <c r="CRD5" s="132"/>
      <c r="CRE5" s="132"/>
      <c r="CRF5" s="132"/>
      <c r="CRG5" s="132"/>
      <c r="CRH5" s="132"/>
      <c r="CRI5" s="132"/>
      <c r="CRJ5" s="132"/>
      <c r="CRK5" s="132"/>
      <c r="CRL5" s="132"/>
      <c r="CRM5" s="132"/>
      <c r="CRN5" s="132"/>
      <c r="CRO5" s="132"/>
      <c r="CRP5" s="132"/>
      <c r="CRQ5" s="132"/>
      <c r="CRR5" s="132"/>
      <c r="CRS5" s="132"/>
      <c r="CRT5" s="132"/>
      <c r="CRU5" s="132"/>
      <c r="CRV5" s="132"/>
      <c r="CRW5" s="132"/>
      <c r="CRX5" s="132"/>
      <c r="CRY5" s="132"/>
      <c r="CRZ5" s="132"/>
      <c r="CSA5" s="132"/>
      <c r="CSB5" s="132"/>
      <c r="CSC5" s="132"/>
      <c r="CSD5" s="132"/>
      <c r="CSE5" s="132"/>
      <c r="CSF5" s="132"/>
      <c r="CSG5" s="132"/>
      <c r="CSH5" s="132"/>
      <c r="CSI5" s="132"/>
      <c r="CSJ5" s="132"/>
      <c r="CSK5" s="132"/>
      <c r="CSL5" s="132"/>
      <c r="CSM5" s="132"/>
      <c r="CSN5" s="132"/>
      <c r="CSO5" s="132"/>
      <c r="CSP5" s="132"/>
      <c r="CSQ5" s="132"/>
      <c r="CSR5" s="132"/>
      <c r="CSS5" s="132"/>
      <c r="CST5" s="132"/>
      <c r="CSU5" s="132"/>
      <c r="CSV5" s="132"/>
      <c r="CSW5" s="132"/>
      <c r="CSX5" s="132"/>
      <c r="CSY5" s="132"/>
      <c r="CSZ5" s="132"/>
      <c r="CTA5" s="132"/>
      <c r="CTB5" s="132"/>
      <c r="CTC5" s="132"/>
      <c r="CTD5" s="132"/>
      <c r="CTE5" s="132"/>
      <c r="CTF5" s="132"/>
      <c r="CTG5" s="132"/>
      <c r="CTH5" s="132"/>
      <c r="CTI5" s="132"/>
      <c r="CTJ5" s="132"/>
      <c r="CTK5" s="132"/>
      <c r="CTL5" s="132"/>
      <c r="CTM5" s="132"/>
      <c r="CTN5" s="132"/>
      <c r="CTO5" s="132"/>
      <c r="CTP5" s="132"/>
      <c r="CTQ5" s="132"/>
      <c r="CTR5" s="132"/>
      <c r="CTS5" s="132"/>
      <c r="CTT5" s="132"/>
      <c r="CTU5" s="132"/>
      <c r="CTV5" s="132"/>
      <c r="CTW5" s="132"/>
      <c r="CTX5" s="132"/>
      <c r="CTY5" s="132"/>
      <c r="CTZ5" s="132"/>
      <c r="CUA5" s="132"/>
    </row>
    <row r="6" ht="6" customHeight="1" spans="2:2">
      <c r="B6" s="126"/>
    </row>
    <row r="7" spans="1:4">
      <c r="A7" s="125" t="s">
        <v>7</v>
      </c>
      <c r="B7" s="133" t="str">
        <f t="shared" ref="B7:B10" si="0">A7</f>
        <v>&lt;head&gt;</v>
      </c>
      <c r="C7" s="133"/>
      <c r="D7" s="133" t="s">
        <v>2</v>
      </c>
    </row>
    <row r="8" spans="1:4">
      <c r="A8" s="125" t="s">
        <v>8</v>
      </c>
      <c r="B8" s="133" t="str">
        <f t="shared" si="0"/>
        <v>&lt;!-- Metaetiquetas --&gt;</v>
      </c>
      <c r="C8" s="133"/>
      <c r="D8" s="133" t="s">
        <v>2</v>
      </c>
    </row>
    <row r="9" spans="1:4">
      <c r="A9" s="125" t="s">
        <v>9</v>
      </c>
      <c r="B9" s="133" t="str">
        <f t="shared" si="0"/>
        <v>&lt;meta charset="utf-8" /&gt;</v>
      </c>
      <c r="C9" s="133"/>
      <c r="D9" s="133" t="s">
        <v>2</v>
      </c>
    </row>
    <row r="10" spans="1:4">
      <c r="A10" s="125" t="s">
        <v>10</v>
      </c>
      <c r="B10" s="133" t="str">
        <f t="shared" si="0"/>
        <v>&lt;meta name="viewport" content="width=device-width, initial-scale=1" /&gt;</v>
      </c>
      <c r="C10" s="133"/>
      <c r="D10" s="133" t="s">
        <v>2</v>
      </c>
    </row>
    <row r="11" spans="1:6">
      <c r="A11" s="127" t="s">
        <v>11</v>
      </c>
      <c r="B11" s="133" t="str">
        <f>CONCATENATE(E11,$C$5,F11)</f>
        <v>&lt;meta name="description" content="Guía de etiquetas HTML para dar formato y estilo al texto en tu web." /&gt;</v>
      </c>
      <c r="C11" s="133"/>
      <c r="D11" s="133" t="s">
        <v>2</v>
      </c>
      <c r="E11" s="125" t="s">
        <v>12</v>
      </c>
      <c r="F11" s="125" t="s">
        <v>13</v>
      </c>
    </row>
    <row r="12" spans="1:6">
      <c r="A12" s="127" t="s">
        <v>11</v>
      </c>
      <c r="B12" s="133" t="str">
        <f>CONCATENATE(E12,$C$1,F12)</f>
        <v>&lt;meta name="tittle" content="Formato de Texto HTML - Ing. Eduardo Herrera Forero." /&gt;</v>
      </c>
      <c r="C12" s="133"/>
      <c r="D12" s="133" t="s">
        <v>2</v>
      </c>
      <c r="E12" s="125" t="s">
        <v>64</v>
      </c>
      <c r="F12" s="125" t="s">
        <v>13</v>
      </c>
    </row>
    <row r="13" spans="1:4">
      <c r="A13" s="125" t="s">
        <v>14</v>
      </c>
      <c r="B13" s="133" t="str">
        <f>A13</f>
        <v>&lt;meta name="author" content="Ing. Eduardo Herrera Forero" /&gt;</v>
      </c>
      <c r="C13" s="133"/>
      <c r="D13" s="133" t="s">
        <v>2</v>
      </c>
    </row>
    <row r="14" spans="1:4">
      <c r="A14" s="125" t="s">
        <v>15</v>
      </c>
      <c r="B14" s="133" t="str">
        <f>A14</f>
        <v>&lt;meta name="application-name" content="EHF" /&gt;</v>
      </c>
      <c r="C14" s="133"/>
      <c r="D14" s="133" t="s">
        <v>2</v>
      </c>
    </row>
    <row r="15" spans="1:4">
      <c r="A15" s="125" t="s">
        <v>16</v>
      </c>
      <c r="B15" s="133" t="str">
        <f>A15</f>
        <v>&lt;meta name="robots" content="index, follow" /&gt;</v>
      </c>
      <c r="C15" s="133"/>
      <c r="D15" s="133" t="s">
        <v>2</v>
      </c>
    </row>
    <row r="16" spans="1:5">
      <c r="A16" s="129" t="s">
        <v>17</v>
      </c>
      <c r="B16" s="133" t="str">
        <f>CONCATENATE(E16,$A$2,$F$11)</f>
        <v>&lt;link rel="canonical" href="https://eduardoherreraf.github.io/html-07_formato_de_texto.html" /&gt;</v>
      </c>
      <c r="C16" s="133"/>
      <c r="D16" s="133" t="s">
        <v>2</v>
      </c>
      <c r="E16" s="125" t="s">
        <v>18</v>
      </c>
    </row>
    <row r="17" spans="1:4">
      <c r="A17" s="125" t="s">
        <v>19</v>
      </c>
      <c r="B17" s="133" t="str">
        <f t="shared" ref="B17:B20" si="1">A17</f>
        <v>&lt;!-- Fin Metaetiquetas --&gt;</v>
      </c>
      <c r="C17" s="133"/>
      <c r="D17" s="133" t="s">
        <v>2</v>
      </c>
    </row>
    <row r="18" spans="2:4">
      <c r="B18" s="133" t="s">
        <v>20</v>
      </c>
      <c r="C18" s="133"/>
      <c r="D18" s="133" t="s">
        <v>2</v>
      </c>
    </row>
    <row r="19" spans="1:3">
      <c r="A19" s="125" t="s">
        <v>21</v>
      </c>
      <c r="B19" s="133" t="str">
        <f t="shared" si="1"/>
        <v>&lt;!-- Open Graph data --&gt;</v>
      </c>
      <c r="C19" s="133"/>
    </row>
    <row r="20" spans="1:4">
      <c r="A20" s="125" t="s">
        <v>22</v>
      </c>
      <c r="B20" s="133" t="str">
        <f t="shared" si="1"/>
        <v>&lt;meta property="og:type" content="website" /&gt;</v>
      </c>
      <c r="C20" s="133"/>
      <c r="D20" s="133"/>
    </row>
    <row r="21" spans="1:5">
      <c r="A21" s="127" t="s">
        <v>23</v>
      </c>
      <c r="B21" s="133" t="str">
        <f>CONCATENATE(E21,$C$1,F11)</f>
        <v>&lt;meta property="og:title" content="Formato de Texto HTML - Ing. Eduardo Herrera Forero." /&gt;</v>
      </c>
      <c r="C21" s="133"/>
      <c r="D21" s="133"/>
      <c r="E21" s="125" t="s">
        <v>24</v>
      </c>
    </row>
    <row r="22" spans="1:5">
      <c r="A22" s="136" t="s">
        <v>25</v>
      </c>
      <c r="B22" s="133" t="str">
        <f>CONCATENATE(E22,$C$5,$F$11)</f>
        <v>&lt;meta property="og:description" content="Guía de etiquetas HTML para dar formato y estilo al texto en tu web." /&gt;</v>
      </c>
      <c r="C22" s="133"/>
      <c r="D22" s="133"/>
      <c r="E22" s="125" t="s">
        <v>26</v>
      </c>
    </row>
    <row r="23" spans="2:6">
      <c r="B23" s="125" t="str">
        <f>CONCATENATE(E23,$C$3,F23)</f>
        <v>&lt;meta property="og:image" content="https://i.ibb.co/gMnStWkj/formato-de-texto.png" /&gt;</v>
      </c>
      <c r="C23" s="133"/>
      <c r="D23" s="133"/>
      <c r="E23" s="125" t="s">
        <v>65</v>
      </c>
      <c r="F23" s="125" t="s">
        <v>13</v>
      </c>
    </row>
    <row r="24" spans="1:6">
      <c r="A24" s="125" t="s">
        <v>28</v>
      </c>
      <c r="B24" s="125" t="str">
        <f>CONCATENATE(E24,$C$4,F24)</f>
        <v>&lt;meta property="og:image:alt" content="Analogía de etiquetas de formato de texto HTML con la vida real."/&gt;</v>
      </c>
      <c r="C24" s="133"/>
      <c r="D24" s="133"/>
      <c r="E24" s="125" t="s">
        <v>66</v>
      </c>
      <c r="F24" s="125" t="s">
        <v>67</v>
      </c>
    </row>
    <row r="25" spans="1:5">
      <c r="A25" s="129" t="s">
        <v>29</v>
      </c>
      <c r="B25" s="133" t="str">
        <f>CONCATENATE(E25,$A$2,$F$11)</f>
        <v>&lt;meta property="og:url" content="https://eduardoherreraf.github.io/html-07_formato_de_texto.html" /&gt;</v>
      </c>
      <c r="C25" s="133"/>
      <c r="D25" s="133"/>
      <c r="E25" s="125" t="s">
        <v>30</v>
      </c>
    </row>
    <row r="26" spans="1:4">
      <c r="A26" s="125" t="s">
        <v>31</v>
      </c>
      <c r="B26" s="133" t="str">
        <f>A26</f>
        <v>&lt;meta property="og:locale" content="es_CO" /&gt;</v>
      </c>
      <c r="C26" s="133"/>
      <c r="D26" s="133"/>
    </row>
    <row r="27" spans="1:4">
      <c r="A27" s="125" t="s">
        <v>32</v>
      </c>
      <c r="B27" s="133" t="str">
        <f>A27</f>
        <v>&lt;!-- fin Open Graph data --&gt;</v>
      </c>
      <c r="C27" s="133"/>
      <c r="D27" s="137"/>
    </row>
    <row r="28" spans="2:4">
      <c r="B28" s="133" t="s">
        <v>33</v>
      </c>
      <c r="C28" s="133"/>
      <c r="D28" s="133" t="s">
        <v>2</v>
      </c>
    </row>
    <row r="29" spans="1:4">
      <c r="A29" s="125" t="s">
        <v>34</v>
      </c>
      <c r="B29" s="133" t="str">
        <f>A29</f>
        <v>&lt;!-- Twitter cards --&gt;</v>
      </c>
      <c r="C29" s="133"/>
      <c r="D29" s="133" t="s">
        <v>2</v>
      </c>
    </row>
    <row r="30" spans="2:4">
      <c r="B30" s="133" t="s">
        <v>68</v>
      </c>
      <c r="C30" s="133"/>
      <c r="D30" s="133" t="s">
        <v>2</v>
      </c>
    </row>
    <row r="31" spans="1:7">
      <c r="A31" s="127" t="s">
        <v>37</v>
      </c>
      <c r="B31" s="133" t="str">
        <f>CONCATENATE(E31,$C$1,$F$11)</f>
        <v>&lt;meta name="twitter:title" content="Formato de Texto HTML - Ing. Eduardo Herrera Forero." /&gt;</v>
      </c>
      <c r="C31" s="133"/>
      <c r="D31" s="133" t="s">
        <v>2</v>
      </c>
      <c r="E31" s="125" t="s">
        <v>38</v>
      </c>
      <c r="G31"/>
    </row>
    <row r="32" spans="1:5">
      <c r="A32" s="136" t="s">
        <v>39</v>
      </c>
      <c r="B32" s="133" t="str">
        <f>CONCATENATE(E32,$C$5,$F$11)</f>
        <v>&lt;meta name="twitter:description" content="Guía de etiquetas HTML para dar formato y estilo al texto en tu web." /&gt;</v>
      </c>
      <c r="C32" s="133"/>
      <c r="E32" s="125" t="s">
        <v>40</v>
      </c>
    </row>
    <row r="33" spans="2:6">
      <c r="B33" s="125" t="str">
        <f>CONCATENATE(E33,$C$3,F33)</f>
        <v>&lt;meta name="twitter:image" content="https://i.ibb.co/gMnStWkj/formato-de-texto.png" /&gt;</v>
      </c>
      <c r="C33" s="133"/>
      <c r="E33" s="138" t="s">
        <v>69</v>
      </c>
      <c r="F33" s="138" t="s">
        <v>13</v>
      </c>
    </row>
    <row r="34" spans="1:6">
      <c r="A34" s="125" t="s">
        <v>42</v>
      </c>
      <c r="B34" s="125" t="str">
        <f>CONCATENATE(E34,$C$4,F34)</f>
        <v>&lt;meta name="twitter:image:alt" content="Analogía de etiquetas de formato de texto HTML con la vida real."&gt;</v>
      </c>
      <c r="C34" s="133"/>
      <c r="E34" s="133" t="s">
        <v>70</v>
      </c>
      <c r="F34" s="125" t="s">
        <v>71</v>
      </c>
    </row>
    <row r="35" spans="1:5">
      <c r="A35" s="127"/>
      <c r="B35" s="133" t="str">
        <f>CONCATENATE(E35,$A$2,$F$11)</f>
        <v>&lt;meta name="twitter:url" content="https://eduardoherreraf.github.io/html-07_formato_de_texto.html" /&gt;</v>
      </c>
      <c r="C35" s="133"/>
      <c r="D35" s="133" t="s">
        <v>2</v>
      </c>
      <c r="E35" s="125" t="s">
        <v>72</v>
      </c>
    </row>
    <row r="36" spans="2:3">
      <c r="B36" s="133" t="s">
        <v>36</v>
      </c>
      <c r="C36" s="133"/>
    </row>
    <row r="37" spans="1:12">
      <c r="A37" s="125" t="s">
        <v>43</v>
      </c>
      <c r="B37" s="133" t="str">
        <f>A37</f>
        <v>&lt;!-- Fin Twitter cards --&gt;</v>
      </c>
      <c r="C37" s="133"/>
      <c r="L37" s="133"/>
    </row>
    <row r="38" spans="2:4">
      <c r="B38" s="133" t="s">
        <v>33</v>
      </c>
      <c r="C38" s="133"/>
      <c r="D38" s="133" t="s">
        <v>2</v>
      </c>
    </row>
    <row r="39" spans="1:4">
      <c r="A39" s="125" t="s">
        <v>44</v>
      </c>
      <c r="B39" s="133" t="str">
        <f t="shared" ref="B39:B48" si="2">A39</f>
        <v>&lt;!-- iconos --&gt;</v>
      </c>
      <c r="C39" s="133"/>
      <c r="D39" s="133" t="s">
        <v>2</v>
      </c>
    </row>
    <row r="40" spans="1:4">
      <c r="A40" s="125" t="s">
        <v>45</v>
      </c>
      <c r="B40" s="133" t="str">
        <f t="shared" si="2"/>
        <v>&lt;link rel="apple-touch-icon" sizes="180x180" href="apple-touch-icon.png" /&gt;</v>
      </c>
      <c r="C40" s="133"/>
      <c r="D40" s="133" t="s">
        <v>2</v>
      </c>
    </row>
    <row r="41" spans="1:4">
      <c r="A41" s="125" t="s">
        <v>46</v>
      </c>
      <c r="B41" s="133" t="str">
        <f t="shared" si="2"/>
        <v>&lt;link rel="icon" type="image/png" sizes="32x32" href="favicon-32x32.png" /&gt;</v>
      </c>
      <c r="C41" s="133"/>
      <c r="D41" s="133" t="s">
        <v>2</v>
      </c>
    </row>
    <row r="42" spans="1:4">
      <c r="A42" s="125" t="s">
        <v>47</v>
      </c>
      <c r="B42" s="133" t="str">
        <f t="shared" si="2"/>
        <v>&lt;link rel="icon" type="image/png" sizes="192x192" href="android-chrome-192x192.png"/&gt;</v>
      </c>
      <c r="C42" s="133"/>
      <c r="D42" s="133" t="s">
        <v>2</v>
      </c>
    </row>
    <row r="43" spans="1:4">
      <c r="A43" s="125" t="s">
        <v>48</v>
      </c>
      <c r="B43" s="133" t="str">
        <f t="shared" si="2"/>
        <v>&lt;link rel="icon" type="image/png" sizes="16x16" href="favicon-16x16.png" /&gt;</v>
      </c>
      <c r="C43" s="133"/>
      <c r="D43" s="133" t="s">
        <v>2</v>
      </c>
    </row>
    <row r="44" spans="1:4">
      <c r="A44" s="125" t="s">
        <v>49</v>
      </c>
      <c r="B44" s="133" t="str">
        <f t="shared" si="2"/>
        <v>&lt;link rel="manifest" href="site.webmanifest" /&gt;</v>
      </c>
      <c r="C44" s="133"/>
      <c r="D44" s="133" t="s">
        <v>2</v>
      </c>
    </row>
    <row r="45" spans="1:4">
      <c r="A45" s="125" t="s">
        <v>50</v>
      </c>
      <c r="B45" s="133" t="str">
        <f t="shared" si="2"/>
        <v>&lt;link rel="mask-icon" href="safari-pinned-tab.svg" color="#5bbad5" /&gt;</v>
      </c>
      <c r="C45" s="133"/>
      <c r="D45" s="133" t="s">
        <v>2</v>
      </c>
    </row>
    <row r="46" spans="1:4">
      <c r="A46" s="125" t="s">
        <v>51</v>
      </c>
      <c r="B46" s="133" t="str">
        <f t="shared" si="2"/>
        <v>&lt;meta name="msapplication-TileColor" content="#da532c" /&gt;</v>
      </c>
      <c r="C46" s="133"/>
      <c r="D46" s="133" t="s">
        <v>2</v>
      </c>
    </row>
    <row r="47" spans="1:4">
      <c r="A47" s="125" t="s">
        <v>52</v>
      </c>
      <c r="B47" s="133" t="str">
        <f t="shared" si="2"/>
        <v>&lt;meta name="theme-color" content="#ffffff" /&gt;</v>
      </c>
      <c r="C47" s="133"/>
      <c r="D47" s="133" t="s">
        <v>2</v>
      </c>
    </row>
    <row r="48" spans="1:4">
      <c r="A48" s="125" t="s">
        <v>53</v>
      </c>
      <c r="B48" s="133" t="str">
        <f t="shared" si="2"/>
        <v>&lt;!-- fin iconos --&gt;</v>
      </c>
      <c r="C48" s="133"/>
      <c r="D48" s="133" t="s">
        <v>2</v>
      </c>
    </row>
    <row r="49" spans="2:4">
      <c r="B49" s="133" t="s">
        <v>33</v>
      </c>
      <c r="C49" s="133"/>
      <c r="D49" s="133" t="s">
        <v>2</v>
      </c>
    </row>
    <row r="50" spans="1:4">
      <c r="A50" s="125" t="s">
        <v>54</v>
      </c>
      <c r="B50" s="133" t="str">
        <f t="shared" ref="B50:B54" si="3">A50</f>
        <v>&lt;title&gt;</v>
      </c>
      <c r="C50" s="133"/>
      <c r="D50" s="133" t="s">
        <v>2</v>
      </c>
    </row>
    <row r="51" spans="1:4">
      <c r="A51" s="127" t="s">
        <v>55</v>
      </c>
      <c r="B51" s="133" t="str">
        <f>C1</f>
        <v>Formato de Texto HTML - Ing. Eduardo Herrera Forero.</v>
      </c>
      <c r="C51" s="133"/>
      <c r="D51" s="133" t="s">
        <v>2</v>
      </c>
    </row>
    <row r="52" spans="1:4">
      <c r="A52" s="125" t="s">
        <v>56</v>
      </c>
      <c r="B52" s="133" t="str">
        <f t="shared" si="3"/>
        <v>&lt;/title&gt;</v>
      </c>
      <c r="C52" s="133"/>
      <c r="D52" s="133" t="s">
        <v>2</v>
      </c>
    </row>
    <row r="53" spans="2:4">
      <c r="B53" s="133" t="s">
        <v>33</v>
      </c>
      <c r="C53" s="133"/>
      <c r="D53" s="133" t="s">
        <v>2</v>
      </c>
    </row>
    <row r="54" spans="1:4">
      <c r="A54" s="125" t="s">
        <v>57</v>
      </c>
      <c r="B54" s="133" t="str">
        <f t="shared" si="3"/>
        <v>&lt;script type="module" defer src="./js/main.js"&gt;&lt;/script&gt;</v>
      </c>
      <c r="C54" s="133"/>
      <c r="D54" s="133" t="s">
        <v>2</v>
      </c>
    </row>
    <row r="55" spans="2:4">
      <c r="B55" s="133" t="s">
        <v>33</v>
      </c>
      <c r="C55" s="133"/>
      <c r="D55" s="133" t="s">
        <v>2</v>
      </c>
    </row>
    <row r="56" spans="1:4">
      <c r="A56" s="125" t="s">
        <v>58</v>
      </c>
      <c r="B56" s="133" t="str">
        <f>A56</f>
        <v>&lt;meta name="google-site-verification" content="2H5ZMCD1_xl7oxaiqnopfdQBnIXVIOfmW0UBSa5sQJc"/&gt;</v>
      </c>
      <c r="C56" s="133"/>
      <c r="D56" s="133" t="s">
        <v>2</v>
      </c>
    </row>
    <row r="57" spans="1:4">
      <c r="A57" s="125" t="s">
        <v>59</v>
      </c>
      <c r="B57" s="133" t="str">
        <f>A57</f>
        <v>&lt;/head&gt;</v>
      </c>
      <c r="C57" s="133"/>
      <c r="D57" s="133" t="s">
        <v>2</v>
      </c>
    </row>
    <row r="58" spans="4:4">
      <c r="D58" s="133" t="s">
        <v>2</v>
      </c>
    </row>
  </sheetData>
  <hyperlinks>
    <hyperlink ref="A2" r:id="rId1" display="=CONCATENAR(&quot;https://eduardoherreraf.github.io/&quot;;C2)" tooltip="https://git-introduccion_de_git_para_windows.html"/>
    <hyperlink ref="C3" r:id="rId2" display="https://i.ibb.co/gMnStWkj/formato-de-texto.png" tooltip="https://i.ibb.co/gMnStWkj/formato-de-texto.png"/>
    <hyperlink ref="E3" r:id="rId3" display="https://i.imgur.com/JKbKYrO.png"/>
  </hyperlinks>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05"/>
  <sheetViews>
    <sheetView tabSelected="1" topLeftCell="B1" workbookViewId="0">
      <pane ySplit="1" topLeftCell="A164" activePane="bottomLeft" state="frozen"/>
      <selection/>
      <selection pane="bottomLeft" activeCell="E161" sqref="E161:E198"/>
    </sheetView>
  </sheetViews>
  <sheetFormatPr defaultColWidth="9" defaultRowHeight="16.2" zeroHeight="1"/>
  <cols>
    <col min="1" max="1" width="20.3" style="89" customWidth="1"/>
    <col min="2" max="2" width="4.5" style="88" customWidth="1"/>
    <col min="3" max="3" width="63.2" style="33" customWidth="1"/>
    <col min="4" max="4" width="0.158333333333333" style="33" customWidth="1"/>
    <col min="5" max="5" width="104.5" style="90" customWidth="1"/>
    <col min="6" max="9" width="0.158333333333333" style="88" customWidth="1"/>
    <col min="10" max="10" width="2.4" style="88" customWidth="1"/>
    <col min="11" max="11" width="12.6" style="88" customWidth="1"/>
    <col min="12" max="12" width="11.8" style="88" customWidth="1"/>
    <col min="13" max="16384" width="9" style="88"/>
  </cols>
  <sheetData>
    <row r="1" spans="3:9">
      <c r="C1" s="88"/>
      <c r="D1" s="88"/>
      <c r="E1" s="91"/>
      <c r="G1" s="90" t="s">
        <v>82</v>
      </c>
      <c r="I1" s="88" t="s">
        <v>83</v>
      </c>
    </row>
    <row r="2" spans="3:9">
      <c r="C2" s="88"/>
      <c r="D2" s="88"/>
      <c r="E2" s="88" t="s">
        <v>84</v>
      </c>
      <c r="H2" s="91"/>
      <c r="I2" s="91" t="s">
        <v>85</v>
      </c>
    </row>
    <row r="3" spans="3:5">
      <c r="C3" s="88"/>
      <c r="D3" s="88"/>
      <c r="E3" s="88" t="s">
        <v>86</v>
      </c>
    </row>
    <row r="4" spans="3:5">
      <c r="C4" s="88"/>
      <c r="D4" s="88"/>
      <c r="E4" s="90" t="s">
        <v>87</v>
      </c>
    </row>
    <row r="5" spans="3:5">
      <c r="C5" s="88"/>
      <c r="D5" s="88"/>
      <c r="E5" s="90" t="s">
        <v>88</v>
      </c>
    </row>
    <row r="6" spans="3:5">
      <c r="C6" s="88"/>
      <c r="D6" s="88"/>
      <c r="E6" s="90" t="str">
        <f>CONCATENATE("&lt;!--  ",$C$10,"--&gt;")</f>
        <v>&lt;!--  Formato de Texto HTML --&gt;</v>
      </c>
    </row>
    <row r="7" spans="3:8">
      <c r="C7" s="88"/>
      <c r="D7" s="88"/>
      <c r="E7" s="15" t="s">
        <v>89</v>
      </c>
      <c r="H7" s="88" t="s">
        <v>2</v>
      </c>
    </row>
    <row r="8" spans="3:5">
      <c r="C8" s="88"/>
      <c r="D8" s="88"/>
      <c r="E8" s="90" t="str">
        <f>""</f>
        <v/>
      </c>
    </row>
    <row r="9" spans="3:5">
      <c r="C9" s="88"/>
      <c r="D9" s="88"/>
      <c r="E9" s="90" t="s">
        <v>90</v>
      </c>
    </row>
    <row r="10" spans="1:5">
      <c r="A10" s="89" t="s">
        <v>91</v>
      </c>
      <c r="B10" s="88" t="s">
        <v>2</v>
      </c>
      <c r="C10" s="92" t="str">
        <f>LEFT('&lt;head&gt;'!C1,FIND("-",'&lt;head&gt;'!C1)-1)</f>
        <v>Formato de Texto HTML </v>
      </c>
      <c r="D10" s="140" t="s">
        <v>92</v>
      </c>
      <c r="E10" s="90" t="str">
        <f>CONCATENATE("&lt;header&gt;&lt;h1&gt;",C10,"&lt;/h1&gt;&lt;/header&gt;")</f>
        <v>&lt;header&gt;&lt;h1&gt;Formato de Texto HTML &lt;/h1&gt;&lt;/header&gt;</v>
      </c>
    </row>
    <row r="11" ht="16.95" spans="3:6">
      <c r="C11" s="88"/>
      <c r="D11" s="88"/>
      <c r="F11" s="88" t="s">
        <v>2</v>
      </c>
    </row>
    <row r="12" spans="1:5">
      <c r="A12" s="93"/>
      <c r="B12" s="94"/>
      <c r="C12" s="95"/>
      <c r="D12" s="95"/>
      <c r="E12" s="96" t="str">
        <f>IF(C13&lt;&gt;"",CONCATENATE("&lt;!-- ",C13," --&gt;"),"")</f>
        <v>&lt;!-- Introducción --&gt;</v>
      </c>
    </row>
    <row r="13" spans="1:7">
      <c r="A13" s="97" t="s">
        <v>93</v>
      </c>
      <c r="B13" s="88" t="s">
        <v>2</v>
      </c>
      <c r="C13" s="98" t="s">
        <v>94</v>
      </c>
      <c r="D13" s="98"/>
      <c r="E13" s="99" t="str">
        <f>IF(C13&lt;&gt;"","&lt;div","")</f>
        <v>&lt;div</v>
      </c>
      <c r="G13" s="88" t="s">
        <v>2</v>
      </c>
    </row>
    <row r="14" spans="1:7">
      <c r="A14" s="97" t="s">
        <v>95</v>
      </c>
      <c r="B14" s="88" t="s">
        <v>2</v>
      </c>
      <c r="C14" s="98" t="s">
        <v>96</v>
      </c>
      <c r="D14" s="98"/>
      <c r="E14" s="100" t="str">
        <f>IF(C13&lt;&gt;"",CONCATENATE("id=",Comillas,C14,Comillas),"")</f>
        <v>id="introduccion"</v>
      </c>
      <c r="F14" s="88" t="s">
        <v>97</v>
      </c>
      <c r="G14" s="88" t="s">
        <v>2</v>
      </c>
    </row>
    <row r="15" spans="1:7">
      <c r="A15" s="97"/>
      <c r="B15" s="88" t="s">
        <v>2</v>
      </c>
      <c r="C15" s="88"/>
      <c r="D15" s="88"/>
      <c r="E15" s="100" t="str">
        <f>IF(C13&lt;&gt;"",$F$43,"")</f>
        <v>class="mt-5"&gt;</v>
      </c>
      <c r="G15" s="88" t="s">
        <v>2</v>
      </c>
    </row>
    <row r="16" spans="1:7">
      <c r="A16" s="97"/>
      <c r="B16" s="88" t="s">
        <v>2</v>
      </c>
      <c r="C16" s="88"/>
      <c r="D16" s="88"/>
      <c r="E16" s="100" t="str">
        <f>IF(C13&lt;&gt;"",CONCATENATE("&lt;h2 class=",Comillas,"mt-1",Comillas,"&gt;",C13,"&lt;/h2&gt;"),"")</f>
        <v>&lt;h2 class="mt-1"&gt;Introducción&lt;/h2&gt;</v>
      </c>
      <c r="F16" s="88" t="s">
        <v>2</v>
      </c>
      <c r="G16" s="88" t="s">
        <v>2</v>
      </c>
    </row>
    <row r="17" spans="1:5">
      <c r="A17" s="97"/>
      <c r="C17" s="88"/>
      <c r="D17" s="88"/>
      <c r="E17" s="100"/>
    </row>
    <row r="18" s="88" customFormat="1" spans="1:6">
      <c r="A18" s="89" t="s">
        <v>98</v>
      </c>
      <c r="B18" s="88" t="s">
        <v>2</v>
      </c>
      <c r="C18" s="98" t="s">
        <v>99</v>
      </c>
      <c r="D18" s="141" t="s">
        <v>92</v>
      </c>
      <c r="E18" s="101" t="str">
        <f>IF(C18&lt;&gt;"",CONCATENATE("&lt;p&gt;",C18,"&lt;/p&gt;"),"")</f>
        <v>&lt;p&gt;En el fascinante mundo del desarrollo web, dar estilo y estructura al texto es fundamental para crear páginas atractivas y fáciles de leer. Hoy, se invita a los lectores a sumergirse en el poder de HTML, el lenguaje esencial para la web. Se descubrirán las etiquetas clave que permiten formatear el texto. Desde negritas y cursivas hasta el tamaño y la organización, el objetivo es transformar las palabras en contenido visualmente impactante.&lt;/p&gt;</v>
      </c>
      <c r="F18" s="88" t="s">
        <v>2</v>
      </c>
    </row>
    <row r="19" s="88" customFormat="1" spans="1:6">
      <c r="A19" s="89" t="s">
        <v>100</v>
      </c>
      <c r="B19" s="88" t="s">
        <v>2</v>
      </c>
      <c r="C19" s="98"/>
      <c r="D19" s="141" t="s">
        <v>92</v>
      </c>
      <c r="E19" s="101" t="str">
        <f t="shared" ref="E18:E23" si="0">IF(C19&lt;&gt;"",CONCATENATE("&lt;p&gt;",C19,"&lt;/p&gt;"),"")</f>
        <v/>
      </c>
      <c r="F19" s="88" t="s">
        <v>2</v>
      </c>
    </row>
    <row r="20" s="88" customFormat="1" spans="1:6">
      <c r="A20" s="89" t="s">
        <v>100</v>
      </c>
      <c r="B20" s="88" t="s">
        <v>2</v>
      </c>
      <c r="C20" s="98"/>
      <c r="D20" s="141" t="s">
        <v>92</v>
      </c>
      <c r="E20" s="101" t="str">
        <f t="shared" si="0"/>
        <v/>
      </c>
      <c r="F20" s="88" t="s">
        <v>2</v>
      </c>
    </row>
    <row r="21" s="88" customFormat="1" spans="1:6">
      <c r="A21" s="89" t="s">
        <v>100</v>
      </c>
      <c r="B21" s="88" t="s">
        <v>2</v>
      </c>
      <c r="C21" s="98"/>
      <c r="D21" s="141" t="s">
        <v>92</v>
      </c>
      <c r="E21" s="101" t="str">
        <f t="shared" si="0"/>
        <v/>
      </c>
      <c r="F21" s="88" t="s">
        <v>2</v>
      </c>
    </row>
    <row r="22" s="88" customFormat="1" spans="1:6">
      <c r="A22" s="89" t="s">
        <v>100</v>
      </c>
      <c r="B22" s="88" t="s">
        <v>2</v>
      </c>
      <c r="C22" s="98"/>
      <c r="D22" s="141" t="s">
        <v>92</v>
      </c>
      <c r="E22" s="101" t="str">
        <f t="shared" si="0"/>
        <v/>
      </c>
      <c r="F22" s="88" t="s">
        <v>2</v>
      </c>
    </row>
    <row r="23" s="88" customFormat="1" spans="1:6">
      <c r="A23" s="89" t="s">
        <v>100</v>
      </c>
      <c r="B23" s="88" t="s">
        <v>2</v>
      </c>
      <c r="C23" s="98"/>
      <c r="D23" s="141" t="s">
        <v>92</v>
      </c>
      <c r="E23" s="101" t="str">
        <f t="shared" si="0"/>
        <v/>
      </c>
      <c r="F23" s="88" t="s">
        <v>2</v>
      </c>
    </row>
    <row r="24" s="88" customFormat="1" spans="1:5">
      <c r="A24" s="89"/>
      <c r="D24" s="98"/>
      <c r="E24" s="90" t="s">
        <v>101</v>
      </c>
    </row>
    <row r="25" s="88" customFormat="1" spans="1:5">
      <c r="A25" s="89"/>
      <c r="D25" s="98"/>
      <c r="E25" s="90" t="s">
        <v>102</v>
      </c>
    </row>
    <row r="26" spans="3:5">
      <c r="C26" s="88"/>
      <c r="D26" s="98"/>
      <c r="E26" s="90" t="s">
        <v>103</v>
      </c>
    </row>
    <row r="27" spans="3:5">
      <c r="C27" s="102" t="str">
        <f>'&lt;head&gt;'!C3</f>
        <v>https://i.ibb.co/gMnStWkj/formato-de-texto.png</v>
      </c>
      <c r="D27" s="98"/>
      <c r="E27" s="102" t="str">
        <f>CONCATENATE("src=",Comillas,C27,Comillas)</f>
        <v>src="https://i.ibb.co/gMnStWkj/formato-de-texto.png"</v>
      </c>
    </row>
    <row r="28" spans="3:5">
      <c r="C28" s="88"/>
      <c r="D28" s="98"/>
      <c r="E28" s="90" t="s">
        <v>104</v>
      </c>
    </row>
    <row r="29" spans="3:5">
      <c r="C29" s="88"/>
      <c r="D29" s="98"/>
      <c r="E29" s="90" t="s">
        <v>105</v>
      </c>
    </row>
    <row r="30" spans="3:5">
      <c r="C30" s="88"/>
      <c r="D30" s="98"/>
      <c r="E30" s="90" t="str">
        <f>CONCATENATE("alt=",Comillas,C10,Comillas)</f>
        <v>alt="Formato de Texto HTML "</v>
      </c>
    </row>
    <row r="31" spans="3:5">
      <c r="C31" s="98" t="str">
        <f>CONCATENATE(C10,,C32)</f>
        <v>Formato de Texto HTML : &lt;b&gt;, &lt;strong&gt;, &lt;em&gt;, &lt;i&gt;,...</v>
      </c>
      <c r="D31" s="98"/>
      <c r="E31" s="98" t="str">
        <f>CONCATENATE("title=",Comillas,C31,Comillas)</f>
        <v>title="Formato de Texto HTML : &lt;b&gt;, &lt;strong&gt;, &lt;em&gt;, &lt;i&gt;,..."</v>
      </c>
    </row>
    <row r="32" spans="3:5">
      <c r="C32" s="98" t="s">
        <v>106</v>
      </c>
      <c r="D32" s="98"/>
      <c r="E32" s="90" t="s">
        <v>107</v>
      </c>
    </row>
    <row r="33" spans="1:5">
      <c r="A33" s="103" t="s">
        <v>108</v>
      </c>
      <c r="C33" s="98" t="s">
        <v>109</v>
      </c>
      <c r="D33" s="98"/>
      <c r="E33" s="90" t="str">
        <f>CONCATENATE("&lt;figcaption&gt;",C33,"&lt;/figcaption&gt;")</f>
        <v>&lt;figcaption&gt;Ejemplo de Etiquetas de Texto HTML&lt;/figcaption&gt;</v>
      </c>
    </row>
    <row r="34" spans="3:5">
      <c r="C34" s="88"/>
      <c r="D34" s="98"/>
      <c r="E34" s="90" t="s">
        <v>110</v>
      </c>
    </row>
    <row r="35" spans="3:5">
      <c r="C35" s="104" t="s">
        <v>111</v>
      </c>
      <c r="D35" s="98"/>
      <c r="E35" s="90" t="str">
        <f>C35</f>
        <v>&lt;ul&gt;
&lt;li&gt;&lt;mark&gt; (Sombrero amarillo): Imagina que el sombrero amarillo es algo que quieres "resaltar" o "marcar" como importante, como si lo subrayaras con un marcador fluorescente. En HTML, la etiqueta &lt;mark&gt; se usa para resaltar texto con un color de fondo, como un marcador. Es útil para llamar la atención sobre una parte específica de una frase.&lt;/li&gt;
&lt;li&gt;&lt;em&gt; (Boina marrón): La boina está sobre una prenda de ropa. La etiqueta &lt;em&gt; significa "énfasis" (de emphasis). Se usa para dar énfasis a una palabra o frase, generalmente mostrándola en cursiva. Es como cuando cambias el tono de voz para enfatizar algo que dices.&lt;/li&gt;
&lt;li&gt;&lt;strong&gt; (Chaqueta amarilla del hombre): La chaqueta amarilla que se está probando el hombre es muy llamativa y destaca. La etiqueta &lt;strong&gt; se usa para indicar que un texto tiene gran importancia o relevancia, y por defecto, los navegadores lo muestran en negrita. Es como cuando usas mayúsculas o gritas una palabra para que quede claro que es lo más importante.&lt;/li&gt;
&lt;li&gt;&lt;del&gt; (Camiseta naranja): La camiseta naranja ya no es útil o se quisieras "desechar". La etiqueta &lt;del&gt; (de delete) se usa para indicar que un texto ha sido eliminado o ya no es válido, mostrándolo por defecto con una línea que lo tacha. Es útil cuando quieres mostrar un cambio, por ejemplo, un precio anterior que ha sido reemplazado por uno nuevo.&lt;/li&gt;
&lt;li&gt;&lt;u&gt; (Corbata): La corbata está "subrayada" por su posición. La etiqueta &lt;u&gt; (de underline) se usa para subrayar texto. Aunque en la web es menos común usarla para subrayar por sí sola (ya que a menudo el subrayado indica un enlace), todavía puede usarse para propósitos estilísticos donde el significado de subrayado es relevante.&lt;/li&gt;
&lt;/ul&gt;</v>
      </c>
    </row>
    <row r="36" spans="3:5">
      <c r="C36" s="88"/>
      <c r="D36" s="98"/>
      <c r="E36" s="90" t="s">
        <v>112</v>
      </c>
    </row>
    <row r="37" spans="1:7">
      <c r="A37" s="97"/>
      <c r="B37" s="88" t="s">
        <v>2</v>
      </c>
      <c r="C37" s="88"/>
      <c r="D37" s="88"/>
      <c r="E37" s="99" t="str">
        <f>IF(C13&lt;&gt;"","&lt;/div&gt;","")</f>
        <v>&lt;/div&gt;</v>
      </c>
      <c r="G37" s="88" t="s">
        <v>2</v>
      </c>
    </row>
    <row r="38" ht="16.95" spans="1:7">
      <c r="A38" s="105"/>
      <c r="B38" s="106" t="s">
        <v>2</v>
      </c>
      <c r="C38" s="106"/>
      <c r="D38" s="107"/>
      <c r="E38" s="108" t="str">
        <f>IF(C13&lt;&gt;"",CONCATENATE("&lt;!-- ",C13," Fin --&gt;"),"")</f>
        <v>&lt;!-- Introducción Fin --&gt;</v>
      </c>
      <c r="G38" s="88" t="s">
        <v>2</v>
      </c>
    </row>
    <row r="39" ht="16.95" spans="1:5">
      <c r="A39" s="97"/>
      <c r="B39" s="109"/>
      <c r="C39" s="109"/>
      <c r="D39" s="110"/>
      <c r="E39" s="100"/>
    </row>
    <row r="40" spans="1:6">
      <c r="A40" s="93">
        <v>1</v>
      </c>
      <c r="B40" s="94"/>
      <c r="C40" s="95"/>
      <c r="D40" s="95"/>
      <c r="E40" s="96" t="str">
        <f>IF(C41&lt;&gt;"",CONCATENATE("&lt;!-- ",C41," --&gt;"),"")</f>
        <v>&lt;!-- Etiquetas HTML &lt;b&gt; Negrita y &lt;strong&gt; Importante --&gt;</v>
      </c>
      <c r="F40" s="111"/>
    </row>
    <row r="41" spans="1:6">
      <c r="A41" s="97" t="str">
        <f>CONCATENATE("Area de trabajo ",A40)</f>
        <v>Area de trabajo 1</v>
      </c>
      <c r="B41" s="88" t="s">
        <v>2</v>
      </c>
      <c r="C41" s="98" t="s">
        <v>113</v>
      </c>
      <c r="D41" s="98"/>
      <c r="E41" s="99" t="str">
        <f>IF(C41&lt;&gt;"","&lt;div","")</f>
        <v>&lt;div</v>
      </c>
      <c r="F41" s="112"/>
    </row>
    <row r="42" spans="1:6">
      <c r="A42" s="97" t="str">
        <f>CONCATENATE(LOWER("area-de-trabajo-"),A40)</f>
        <v>area-de-trabajo-1</v>
      </c>
      <c r="B42" s="88" t="s">
        <v>2</v>
      </c>
      <c r="C42" s="33" t="str">
        <f>SUBSTITUTE(SUBSTITUTE(SUBSTITUTE(SUBSTITUTE(SUBSTITUTE(SUBSTITUTE(SUBSTITUTE(LOWER(C41)," ","-"),"&lt;",""),"&gt;",""),"é","e"),"á","a"),"ñ","n"),"í","i")</f>
        <v>etiquetas-html-b-negrita-y-strong-importante</v>
      </c>
      <c r="D42" s="98"/>
      <c r="E42" s="100" t="str">
        <f>IF(C41&lt;&gt;"",CONCATENATE("id=",Comillas,C42,Comillas),"")</f>
        <v>id="etiquetas-html-b-negrita-y-strong-importante"</v>
      </c>
      <c r="F42" s="112"/>
    </row>
    <row r="43" spans="1:10">
      <c r="A43" s="97"/>
      <c r="B43" s="88" t="s">
        <v>2</v>
      </c>
      <c r="C43" s="88"/>
      <c r="D43" s="88"/>
      <c r="E43" s="100" t="str">
        <f>IF(C41&lt;&gt;"",$F$43,"")</f>
        <v>class="mt-5"&gt;</v>
      </c>
      <c r="F43" s="112" t="s">
        <v>114</v>
      </c>
      <c r="J43" s="88" t="s">
        <v>2</v>
      </c>
    </row>
    <row r="44" spans="1:6">
      <c r="A44" s="97"/>
      <c r="B44" s="88" t="s">
        <v>2</v>
      </c>
      <c r="C44" s="88"/>
      <c r="D44" s="88"/>
      <c r="E44" s="100" t="str">
        <f>IF(C41&lt;&gt;"",CONCATENATE("&lt;h2 class=",Comillas,"mt-1",Comillas,"&gt;",C41,"&lt;/h2&gt;"),"")</f>
        <v>&lt;h2 class="mt-1"&gt;Etiquetas HTML &lt;b&gt; Negrita y &lt;strong&gt; Importante&lt;/h2&gt;</v>
      </c>
      <c r="F44" s="112"/>
    </row>
    <row r="45" spans="1:6">
      <c r="A45" s="97"/>
      <c r="C45" s="98" t="s">
        <v>115</v>
      </c>
      <c r="D45" s="88"/>
      <c r="E45" s="101" t="str">
        <f>IF(C41&lt;&gt;"",CONCATENATE("&lt;p&gt;",C45,"&lt;/p&gt;"),"")</f>
        <v>&lt;p&gt;Lorem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quis.1&lt;/p&gt;</v>
      </c>
      <c r="F45" s="112"/>
    </row>
    <row r="46" spans="1:6">
      <c r="A46" s="97"/>
      <c r="B46" s="88" t="s">
        <v>2</v>
      </c>
      <c r="C46" s="88"/>
      <c r="D46" s="88"/>
      <c r="E46" s="100" t="str">
        <f>IF(C41&lt;&gt;"","&lt;/div&gt;","")</f>
        <v>&lt;/div&gt;</v>
      </c>
      <c r="F46" s="112"/>
    </row>
    <row r="47" ht="16.95" spans="1:7">
      <c r="A47" s="105"/>
      <c r="B47" s="106" t="s">
        <v>2</v>
      </c>
      <c r="C47" s="106"/>
      <c r="D47" s="107"/>
      <c r="E47" s="106" t="str">
        <f>IF(C41&lt;&gt;"",CONCATENATE("&lt;!-- ",C41," Fin --&gt;"),"")</f>
        <v>&lt;!-- Etiquetas HTML &lt;b&gt; Negrita y &lt;strong&gt; Importante Fin --&gt;</v>
      </c>
      <c r="F47" s="113"/>
      <c r="G47" s="88" t="s">
        <v>116</v>
      </c>
    </row>
    <row r="48" ht="16.95" spans="1:7">
      <c r="A48" s="97"/>
      <c r="B48" s="109"/>
      <c r="C48" s="109"/>
      <c r="D48" s="110"/>
      <c r="E48" s="100" t="str">
        <f>""</f>
        <v/>
      </c>
      <c r="G48" s="88" t="s">
        <v>2</v>
      </c>
    </row>
    <row r="49" spans="1:6">
      <c r="A49" s="93">
        <f>A40+1</f>
        <v>2</v>
      </c>
      <c r="B49" s="94"/>
      <c r="C49" s="95"/>
      <c r="D49" s="95"/>
      <c r="E49" s="96" t="str">
        <f>IF(C50&lt;&gt;"",CONCATENATE("&lt;!-- ",C50," --&gt;"),"")</f>
        <v>&lt;!-- Etiquetas HTML &lt;i&gt; Itálica y &lt;em&gt; Enfásis --&gt;</v>
      </c>
      <c r="F49" s="111"/>
    </row>
    <row r="50" spans="1:6">
      <c r="A50" s="97" t="str">
        <f>CONCATENATE("Area de trabajo ",A49)</f>
        <v>Area de trabajo 2</v>
      </c>
      <c r="B50" s="88" t="s">
        <v>2</v>
      </c>
      <c r="C50" s="98" t="s">
        <v>117</v>
      </c>
      <c r="D50" s="98"/>
      <c r="E50" s="99" t="str">
        <f>IF(C50&lt;&gt;"","&lt;div","")</f>
        <v>&lt;div</v>
      </c>
      <c r="F50" s="112"/>
    </row>
    <row r="51" spans="1:6">
      <c r="A51" s="97" t="str">
        <f>CONCATENATE(LOWER("area-de-trabajo-"),A49)</f>
        <v>area-de-trabajo-2</v>
      </c>
      <c r="B51" s="88" t="s">
        <v>2</v>
      </c>
      <c r="C51" s="33" t="str">
        <f>SUBSTITUTE(SUBSTITUTE(SUBSTITUTE(SUBSTITUTE(SUBSTITUTE(SUBSTITUTE(SUBSTITUTE(LOWER(C50)," ","-"),"&lt;",""),"&gt;",""),"é","e"),"á","a"),"ñ","n"),"í","i")</f>
        <v>etiquetas-html-i-italica-y-em-enfasis</v>
      </c>
      <c r="D51" s="98"/>
      <c r="E51" s="100" t="str">
        <f>IF(C50&lt;&gt;"",CONCATENATE("id=",Comillas,C51,Comillas),"")</f>
        <v>id="etiquetas-html-i-italica-y-em-enfasis"</v>
      </c>
      <c r="F51" s="112"/>
    </row>
    <row r="52" spans="1:10">
      <c r="A52" s="97"/>
      <c r="B52" s="88" t="s">
        <v>2</v>
      </c>
      <c r="C52" s="88"/>
      <c r="D52" s="88"/>
      <c r="E52" s="100" t="str">
        <f>IF(C50&lt;&gt;"",$F$43,"")</f>
        <v>class="mt-5"&gt;</v>
      </c>
      <c r="F52" s="112" t="s">
        <v>114</v>
      </c>
      <c r="J52" s="88" t="s">
        <v>2</v>
      </c>
    </row>
    <row r="53" spans="1:6">
      <c r="A53" s="97"/>
      <c r="B53" s="88" t="s">
        <v>2</v>
      </c>
      <c r="C53" s="88"/>
      <c r="D53" s="88"/>
      <c r="E53" s="100" t="str">
        <f>IF(C50&lt;&gt;"",CONCATENATE("&lt;h2 class=",Comillas,"mt-1",Comillas,"&gt;",C50,"&lt;/h2&gt;"),"")</f>
        <v>&lt;h2 class="mt-1"&gt;Etiquetas HTML &lt;i&gt; Itálica y &lt;em&gt; Enfásis&lt;/h2&gt;</v>
      </c>
      <c r="F53" s="112"/>
    </row>
    <row r="54" spans="1:6">
      <c r="A54" s="97"/>
      <c r="C54" s="98" t="s">
        <v>115</v>
      </c>
      <c r="D54" s="88"/>
      <c r="E54" s="101" t="str">
        <f>IF(C50&lt;&gt;"",CONCATENATE("&lt;p&gt;",C54,"&lt;/p&gt;"),"")</f>
        <v>&lt;p&gt;Lorem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quis.1&lt;/p&gt;</v>
      </c>
      <c r="F54" s="112"/>
    </row>
    <row r="55" spans="1:6">
      <c r="A55" s="97"/>
      <c r="B55" s="88" t="s">
        <v>2</v>
      </c>
      <c r="C55" s="88"/>
      <c r="D55" s="88"/>
      <c r="E55" s="100" t="str">
        <f>IF(C50&lt;&gt;"","&lt;/div&gt;","")</f>
        <v>&lt;/div&gt;</v>
      </c>
      <c r="F55" s="112"/>
    </row>
    <row r="56" ht="16.95" spans="1:7">
      <c r="A56" s="105"/>
      <c r="B56" s="106" t="s">
        <v>2</v>
      </c>
      <c r="C56" s="106"/>
      <c r="D56" s="107"/>
      <c r="E56" s="106" t="str">
        <f>IF(C50&lt;&gt;"",CONCATENATE("&lt;!-- ",C50," Fin --&gt;"),"")</f>
        <v>&lt;!-- Etiquetas HTML &lt;i&gt; Itálica y &lt;em&gt; Enfásis Fin --&gt;</v>
      </c>
      <c r="F56" s="113"/>
      <c r="G56" s="88" t="s">
        <v>116</v>
      </c>
    </row>
    <row r="57" ht="16.95" spans="1:7">
      <c r="A57" s="97"/>
      <c r="B57" s="109"/>
      <c r="C57" s="109"/>
      <c r="D57" s="110"/>
      <c r="E57" s="100" t="str">
        <f>""</f>
        <v/>
      </c>
      <c r="G57" s="88" t="s">
        <v>2</v>
      </c>
    </row>
    <row r="58" spans="1:6">
      <c r="A58" s="93">
        <f>A49+1</f>
        <v>3</v>
      </c>
      <c r="B58" s="94"/>
      <c r="C58" s="95"/>
      <c r="D58" s="95"/>
      <c r="E58" s="96" t="str">
        <f>IF(C59&lt;&gt;"",CONCATENATE("&lt;!-- ",C59," --&gt;"),"")</f>
        <v>&lt;!-- Etiqueta HTML &lt;mark&gt; Resaltado --&gt;</v>
      </c>
      <c r="F58" s="111"/>
    </row>
    <row r="59" spans="1:6">
      <c r="A59" s="97" t="str">
        <f>CONCATENATE("Area de trabajo ",A58)</f>
        <v>Area de trabajo 3</v>
      </c>
      <c r="B59" s="88" t="s">
        <v>2</v>
      </c>
      <c r="C59" s="98" t="s">
        <v>118</v>
      </c>
      <c r="D59" s="98"/>
      <c r="E59" s="99" t="str">
        <f>IF(C59&lt;&gt;"","&lt;div","")</f>
        <v>&lt;div</v>
      </c>
      <c r="F59" s="112"/>
    </row>
    <row r="60" spans="1:6">
      <c r="A60" s="97" t="str">
        <f>CONCATENATE(LOWER("area-de-trabajo-"),A58)</f>
        <v>area-de-trabajo-3</v>
      </c>
      <c r="B60" s="88" t="s">
        <v>2</v>
      </c>
      <c r="C60" s="33" t="str">
        <f>SUBSTITUTE(SUBSTITUTE(SUBSTITUTE(SUBSTITUTE(SUBSTITUTE(SUBSTITUTE(SUBSTITUTE(LOWER(C59)," ","-"),"&lt;",""),"&gt;",""),"é","e"),"á","a"),"ñ","n"),"í","i")</f>
        <v>etiqueta-html-mark-resaltado</v>
      </c>
      <c r="D60" s="98"/>
      <c r="E60" s="100" t="str">
        <f>IF(C59&lt;&gt;"",CONCATENATE("id=",Comillas,C60,Comillas),"")</f>
        <v>id="etiqueta-html-mark-resaltado"</v>
      </c>
      <c r="F60" s="112"/>
    </row>
    <row r="61" spans="1:10">
      <c r="A61" s="97"/>
      <c r="B61" s="88" t="s">
        <v>2</v>
      </c>
      <c r="C61" s="88"/>
      <c r="D61" s="88"/>
      <c r="E61" s="100" t="str">
        <f>IF(C59&lt;&gt;"",$F$43,"")</f>
        <v>class="mt-5"&gt;</v>
      </c>
      <c r="F61" s="112" t="s">
        <v>114</v>
      </c>
      <c r="J61" s="88" t="s">
        <v>2</v>
      </c>
    </row>
    <row r="62" spans="1:6">
      <c r="A62" s="97"/>
      <c r="B62" s="88" t="s">
        <v>2</v>
      </c>
      <c r="C62" s="88"/>
      <c r="D62" s="88"/>
      <c r="E62" s="100" t="str">
        <f>IF(C59&lt;&gt;"",CONCATENATE("&lt;h2 class=",Comillas,"mt-1",Comillas,"&gt;",C59,"&lt;/h2&gt;"),"")</f>
        <v>&lt;h2 class="mt-1"&gt;Etiqueta HTML &lt;mark&gt; Resaltado&lt;/h2&gt;</v>
      </c>
      <c r="F62" s="112"/>
    </row>
    <row r="63" spans="1:6">
      <c r="A63" s="97"/>
      <c r="C63" s="98" t="s">
        <v>115</v>
      </c>
      <c r="D63" s="88"/>
      <c r="E63" s="101" t="str">
        <f>IF(C59&lt;&gt;"",CONCATENATE("&lt;p&gt;",C63,"&lt;/p&gt;"),"")</f>
        <v>&lt;p&gt;Lorem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quis.1&lt;/p&gt;</v>
      </c>
      <c r="F63" s="112"/>
    </row>
    <row r="64" spans="1:6">
      <c r="A64" s="97"/>
      <c r="B64" s="88" t="s">
        <v>2</v>
      </c>
      <c r="C64" s="88"/>
      <c r="D64" s="88"/>
      <c r="E64" s="100" t="str">
        <f>IF(C59&lt;&gt;"","&lt;/div&gt;","")</f>
        <v>&lt;/div&gt;</v>
      </c>
      <c r="F64" s="112"/>
    </row>
    <row r="65" ht="16.95" spans="1:7">
      <c r="A65" s="105"/>
      <c r="B65" s="106" t="s">
        <v>2</v>
      </c>
      <c r="C65" s="106"/>
      <c r="D65" s="107"/>
      <c r="E65" s="106" t="str">
        <f>IF(C59&lt;&gt;"",CONCATENATE("&lt;!-- ",C59," Fin --&gt;"),"")</f>
        <v>&lt;!-- Etiqueta HTML &lt;mark&gt; Resaltado Fin --&gt;</v>
      </c>
      <c r="F65" s="113"/>
      <c r="G65" s="88" t="s">
        <v>116</v>
      </c>
    </row>
    <row r="66" ht="16.95" spans="1:7">
      <c r="A66" s="97"/>
      <c r="B66" s="109"/>
      <c r="C66" s="109"/>
      <c r="D66" s="110"/>
      <c r="E66" s="100" t="str">
        <f>""</f>
        <v/>
      </c>
      <c r="G66" s="88" t="s">
        <v>2</v>
      </c>
    </row>
    <row r="67" spans="1:6">
      <c r="A67" s="93">
        <f>A58+1</f>
        <v>4</v>
      </c>
      <c r="B67" s="94"/>
      <c r="C67" s="95"/>
      <c r="D67" s="95"/>
      <c r="E67" s="96" t="str">
        <f>IF(C68&lt;&gt;"",CONCATENATE("&lt;!-- ",C68," --&gt;"),"")</f>
        <v>&lt;!-- Etiqueta HTML &lt;small&gt; Pequeño --&gt;</v>
      </c>
      <c r="F67" s="111"/>
    </row>
    <row r="68" spans="1:6">
      <c r="A68" s="97" t="str">
        <f>CONCATENATE("Area de trabajo ",A67)</f>
        <v>Area de trabajo 4</v>
      </c>
      <c r="B68" s="88" t="s">
        <v>2</v>
      </c>
      <c r="C68" s="98" t="s">
        <v>119</v>
      </c>
      <c r="D68" s="98"/>
      <c r="E68" s="99" t="str">
        <f>IF(C68&lt;&gt;"","&lt;div","")</f>
        <v>&lt;div</v>
      </c>
      <c r="F68" s="112"/>
    </row>
    <row r="69" spans="1:6">
      <c r="A69" s="97" t="str">
        <f>CONCATENATE(LOWER("area-de-trabajo-"),A67)</f>
        <v>area-de-trabajo-4</v>
      </c>
      <c r="B69" s="88" t="s">
        <v>2</v>
      </c>
      <c r="C69" s="33" t="str">
        <f>SUBSTITUTE(SUBSTITUTE(SUBSTITUTE(SUBSTITUTE(SUBSTITUTE(SUBSTITUTE(SUBSTITUTE(LOWER(C68)," ","-"),"&lt;",""),"&gt;",""),"é","e"),"á","a"),"ñ","n"),"í","i")</f>
        <v>etiqueta-html-small-pequeno</v>
      </c>
      <c r="D69" s="98"/>
      <c r="E69" s="100" t="str">
        <f>IF(C68&lt;&gt;"",CONCATENATE("id=",Comillas,C69,Comillas),"")</f>
        <v>id="etiqueta-html-small-pequeno"</v>
      </c>
      <c r="F69" s="112"/>
    </row>
    <row r="70" spans="1:10">
      <c r="A70" s="97"/>
      <c r="B70" s="88" t="s">
        <v>2</v>
      </c>
      <c r="C70" s="88"/>
      <c r="D70" s="88"/>
      <c r="E70" s="100" t="str">
        <f>IF(C68&lt;&gt;"",$F$43,"")</f>
        <v>class="mt-5"&gt;</v>
      </c>
      <c r="F70" s="112" t="s">
        <v>114</v>
      </c>
      <c r="J70" s="88" t="s">
        <v>2</v>
      </c>
    </row>
    <row r="71" spans="1:6">
      <c r="A71" s="97"/>
      <c r="B71" s="88" t="s">
        <v>2</v>
      </c>
      <c r="C71" s="88"/>
      <c r="D71" s="88"/>
      <c r="E71" s="100" t="str">
        <f>IF(C68&lt;&gt;"",CONCATENATE("&lt;h2 class=",Comillas,"mt-1",Comillas,"&gt;",C68,"&lt;/h2&gt;"),"")</f>
        <v>&lt;h2 class="mt-1"&gt;Etiqueta HTML &lt;small&gt; Pequeño&lt;/h2&gt;</v>
      </c>
      <c r="F71" s="112"/>
    </row>
    <row r="72" spans="1:6">
      <c r="A72" s="97"/>
      <c r="C72" s="98" t="s">
        <v>115</v>
      </c>
      <c r="D72" s="88"/>
      <c r="E72" s="101" t="str">
        <f>IF(C68&lt;&gt;"",CONCATENATE("&lt;p&gt;",C72,"&lt;/p&gt;"),"")</f>
        <v>&lt;p&gt;Lorem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quis.1&lt;/p&gt;</v>
      </c>
      <c r="F72" s="112"/>
    </row>
    <row r="73" spans="1:6">
      <c r="A73" s="97"/>
      <c r="B73" s="88" t="s">
        <v>2</v>
      </c>
      <c r="C73" s="88"/>
      <c r="D73" s="88"/>
      <c r="E73" s="100" t="str">
        <f>IF(C68&lt;&gt;"","&lt;/div&gt;","")</f>
        <v>&lt;/div&gt;</v>
      </c>
      <c r="F73" s="112"/>
    </row>
    <row r="74" ht="16.95" spans="1:7">
      <c r="A74" s="105"/>
      <c r="B74" s="106" t="s">
        <v>2</v>
      </c>
      <c r="C74" s="106"/>
      <c r="D74" s="107"/>
      <c r="E74" s="106" t="str">
        <f>IF(C68&lt;&gt;"",CONCATENATE("&lt;!-- ",C68," Fin --&gt;"),"")</f>
        <v>&lt;!-- Etiqueta HTML &lt;small&gt; Pequeño Fin --&gt;</v>
      </c>
      <c r="F74" s="113"/>
      <c r="G74" s="88" t="s">
        <v>116</v>
      </c>
    </row>
    <row r="75" ht="16.95" spans="1:7">
      <c r="A75" s="97"/>
      <c r="B75" s="109"/>
      <c r="C75" s="109"/>
      <c r="D75" s="110"/>
      <c r="E75" s="100" t="str">
        <f>""</f>
        <v/>
      </c>
      <c r="G75" s="88" t="s">
        <v>2</v>
      </c>
    </row>
    <row r="76" spans="1:6">
      <c r="A76" s="93">
        <f>A67+1</f>
        <v>5</v>
      </c>
      <c r="B76" s="94"/>
      <c r="C76" s="95"/>
      <c r="D76" s="95"/>
      <c r="E76" s="96" t="str">
        <f>IF(C77&lt;&gt;"",CONCATENATE("&lt;!-- ",C77," --&gt;"),"")</f>
        <v>&lt;!-- Etiquetas HTML &lt;del&gt; Borrado y &lt;ins&gt; Insertado --&gt;</v>
      </c>
      <c r="F76" s="111"/>
    </row>
    <row r="77" spans="1:6">
      <c r="A77" s="97" t="str">
        <f>CONCATENATE("Area de trabajo ",A76)</f>
        <v>Area de trabajo 5</v>
      </c>
      <c r="B77" s="88" t="s">
        <v>2</v>
      </c>
      <c r="C77" s="98" t="s">
        <v>120</v>
      </c>
      <c r="D77" s="98"/>
      <c r="E77" s="99" t="str">
        <f>IF(C77&lt;&gt;"","&lt;div","")</f>
        <v>&lt;div</v>
      </c>
      <c r="F77" s="112"/>
    </row>
    <row r="78" spans="1:6">
      <c r="A78" s="97" t="str">
        <f>CONCATENATE(LOWER("area-de-trabajo-"),A76)</f>
        <v>area-de-trabajo-5</v>
      </c>
      <c r="B78" s="88" t="s">
        <v>2</v>
      </c>
      <c r="C78" s="33" t="str">
        <f>SUBSTITUTE(SUBSTITUTE(SUBSTITUTE(SUBSTITUTE(SUBSTITUTE(SUBSTITUTE(SUBSTITUTE(LOWER(C77)," ","-"),"&lt;",""),"&gt;",""),"é","e"),"á","a"),"ñ","n"),"í","i")</f>
        <v>etiquetas-html-del-borrado-y-ins-insertado</v>
      </c>
      <c r="D78" s="98"/>
      <c r="E78" s="100" t="str">
        <f>IF(C77&lt;&gt;"",CONCATENATE("id=",Comillas,C78,Comillas),"")</f>
        <v>id="etiquetas-html-del-borrado-y-ins-insertado"</v>
      </c>
      <c r="F78" s="112"/>
    </row>
    <row r="79" spans="1:10">
      <c r="A79" s="97"/>
      <c r="B79" s="88" t="s">
        <v>2</v>
      </c>
      <c r="C79" s="88"/>
      <c r="D79" s="88"/>
      <c r="E79" s="100" t="str">
        <f>IF(C77&lt;&gt;"",$F$43,"")</f>
        <v>class="mt-5"&gt;</v>
      </c>
      <c r="F79" s="112" t="s">
        <v>114</v>
      </c>
      <c r="J79" s="88" t="s">
        <v>2</v>
      </c>
    </row>
    <row r="80" spans="1:6">
      <c r="A80" s="97"/>
      <c r="B80" s="88" t="s">
        <v>2</v>
      </c>
      <c r="C80" s="88"/>
      <c r="D80" s="88"/>
      <c r="E80" s="100" t="str">
        <f>IF(C77&lt;&gt;"",CONCATENATE("&lt;h2 class=",Comillas,"mt-1",Comillas,"&gt;",C77,"&lt;/h2&gt;"),"")</f>
        <v>&lt;h2 class="mt-1"&gt;Etiquetas HTML &lt;del&gt; Borrado y &lt;ins&gt; Insertado&lt;/h2&gt;</v>
      </c>
      <c r="F80" s="112"/>
    </row>
    <row r="81" spans="1:6">
      <c r="A81" s="97"/>
      <c r="C81" s="98" t="s">
        <v>115</v>
      </c>
      <c r="D81" s="88"/>
      <c r="E81" s="101" t="str">
        <f>IF(C77&lt;&gt;"",CONCATENATE("&lt;p&gt;",C81,"&lt;/p&gt;"),"")</f>
        <v>&lt;p&gt;Lorem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quis.1&lt;/p&gt;</v>
      </c>
      <c r="F81" s="112"/>
    </row>
    <row r="82" spans="1:6">
      <c r="A82" s="97"/>
      <c r="B82" s="88" t="s">
        <v>2</v>
      </c>
      <c r="C82" s="88"/>
      <c r="D82" s="88"/>
      <c r="E82" s="100" t="str">
        <f>IF(C77&lt;&gt;"","&lt;/div&gt;","")</f>
        <v>&lt;/div&gt;</v>
      </c>
      <c r="F82" s="112"/>
    </row>
    <row r="83" ht="16.95" spans="1:7">
      <c r="A83" s="105"/>
      <c r="B83" s="106" t="s">
        <v>2</v>
      </c>
      <c r="C83" s="106"/>
      <c r="D83" s="107"/>
      <c r="E83" s="106" t="str">
        <f>IF(C77&lt;&gt;"",CONCATENATE("&lt;!-- ",C77," Fin --&gt;"),"")</f>
        <v>&lt;!-- Etiquetas HTML &lt;del&gt; Borrado y &lt;ins&gt; Insertado Fin --&gt;</v>
      </c>
      <c r="F83" s="113"/>
      <c r="G83" s="88" t="s">
        <v>116</v>
      </c>
    </row>
    <row r="84" ht="16.95" spans="1:7">
      <c r="A84" s="97"/>
      <c r="B84" s="109"/>
      <c r="C84" s="109"/>
      <c r="D84" s="110"/>
      <c r="E84" s="100" t="str">
        <f>""</f>
        <v/>
      </c>
      <c r="G84" s="88" t="s">
        <v>2</v>
      </c>
    </row>
    <row r="85" spans="1:6">
      <c r="A85" s="93">
        <f>A76+1</f>
        <v>6</v>
      </c>
      <c r="B85" s="94"/>
      <c r="C85" s="95"/>
      <c r="D85" s="95"/>
      <c r="E85" s="96" t="str">
        <f>IF(C86&lt;&gt;"",CONCATENATE("&lt;!-- ",C86," --&gt;"),"")</f>
        <v>&lt;!-- Etiquetas HTML &lt;sup&gt; Superíndice y &lt;sub&gt; Subríndice --&gt;</v>
      </c>
      <c r="F85" s="111"/>
    </row>
    <row r="86" spans="1:6">
      <c r="A86" s="97" t="str">
        <f>CONCATENATE("Area de trabajo ",A85)</f>
        <v>Area de trabajo 6</v>
      </c>
      <c r="B86" s="88" t="s">
        <v>2</v>
      </c>
      <c r="C86" s="98" t="s">
        <v>121</v>
      </c>
      <c r="D86" s="98"/>
      <c r="E86" s="99" t="str">
        <f>IF(C86&lt;&gt;"","&lt;div","")</f>
        <v>&lt;div</v>
      </c>
      <c r="F86" s="112"/>
    </row>
    <row r="87" spans="1:6">
      <c r="A87" s="97" t="str">
        <f>CONCATENATE(LOWER("area-de-trabajo-"),A85)</f>
        <v>area-de-trabajo-6</v>
      </c>
      <c r="B87" s="88" t="s">
        <v>2</v>
      </c>
      <c r="C87" s="33" t="str">
        <f>SUBSTITUTE(SUBSTITUTE(SUBSTITUTE(SUBSTITUTE(SUBSTITUTE(SUBSTITUTE(SUBSTITUTE(LOWER(C86)," ","-"),"&lt;",""),"&gt;",""),"é","e"),"á","a"),"ñ","n"),"í","i")</f>
        <v>etiquetas-html-sup-superindice-y-sub-subrindice</v>
      </c>
      <c r="D87" s="98"/>
      <c r="E87" s="100" t="str">
        <f>IF(C86&lt;&gt;"",CONCATENATE("id=",Comillas,C87,Comillas),"")</f>
        <v>id="etiquetas-html-sup-superindice-y-sub-subrindice"</v>
      </c>
      <c r="F87" s="112"/>
    </row>
    <row r="88" spans="1:10">
      <c r="A88" s="97"/>
      <c r="B88" s="88" t="s">
        <v>2</v>
      </c>
      <c r="C88" s="88"/>
      <c r="D88" s="88"/>
      <c r="E88" s="100" t="str">
        <f>IF(C86&lt;&gt;"",$F$43,"")</f>
        <v>class="mt-5"&gt;</v>
      </c>
      <c r="F88" s="112" t="s">
        <v>114</v>
      </c>
      <c r="J88" s="88" t="s">
        <v>2</v>
      </c>
    </row>
    <row r="89" spans="1:6">
      <c r="A89" s="97"/>
      <c r="B89" s="88" t="s">
        <v>2</v>
      </c>
      <c r="C89" s="88"/>
      <c r="D89" s="88"/>
      <c r="E89" s="100" t="str">
        <f>IF(C86&lt;&gt;"",CONCATENATE("&lt;h2 class=",Comillas,"mt-1",Comillas,"&gt;",C86,"&lt;/h2&gt;"),"")</f>
        <v>&lt;h2 class="mt-1"&gt;Etiquetas HTML &lt;sup&gt; Superíndice y &lt;sub&gt; Subríndice&lt;/h2&gt;</v>
      </c>
      <c r="F89" s="112"/>
    </row>
    <row r="90" spans="1:6">
      <c r="A90" s="97"/>
      <c r="C90" s="98" t="s">
        <v>115</v>
      </c>
      <c r="D90" s="88"/>
      <c r="E90" s="101" t="str">
        <f>IF(C86&lt;&gt;"",CONCATENATE("&lt;p&gt;",C90,"&lt;/p&gt;"),"")</f>
        <v>&lt;p&gt;Lorem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quis.1&lt;/p&gt;</v>
      </c>
      <c r="F90" s="112"/>
    </row>
    <row r="91" spans="1:6">
      <c r="A91" s="97"/>
      <c r="B91" s="88" t="s">
        <v>2</v>
      </c>
      <c r="C91" s="88"/>
      <c r="D91" s="88"/>
      <c r="E91" s="100" t="str">
        <f>IF(C86&lt;&gt;"","&lt;/div&gt;","")</f>
        <v>&lt;/div&gt;</v>
      </c>
      <c r="F91" s="112"/>
    </row>
    <row r="92" ht="16.95" spans="1:7">
      <c r="A92" s="105"/>
      <c r="B92" s="106" t="s">
        <v>2</v>
      </c>
      <c r="C92" s="106"/>
      <c r="D92" s="107"/>
      <c r="E92" s="106" t="str">
        <f>IF(C86&lt;&gt;"",CONCATENATE("&lt;!-- ",C86," Fin --&gt;"),"")</f>
        <v>&lt;!-- Etiquetas HTML &lt;sup&gt; Superíndice y &lt;sub&gt; Subríndice Fin --&gt;</v>
      </c>
      <c r="F92" s="113"/>
      <c r="G92" s="88" t="s">
        <v>116</v>
      </c>
    </row>
    <row r="93" ht="16.95" spans="1:7">
      <c r="A93" s="97"/>
      <c r="B93" s="109"/>
      <c r="C93" s="109"/>
      <c r="D93" s="110"/>
      <c r="E93" s="100" t="str">
        <f>""</f>
        <v/>
      </c>
      <c r="G93" s="88" t="s">
        <v>2</v>
      </c>
    </row>
    <row r="94" spans="1:6">
      <c r="A94" s="93">
        <f>A85+1</f>
        <v>7</v>
      </c>
      <c r="B94" s="94"/>
      <c r="C94" s="95"/>
      <c r="D94" s="95"/>
      <c r="E94" s="96" t="str">
        <f>IF(C95&lt;&gt;"",CONCATENATE("&lt;!-- ",C95," --&gt;"),"")</f>
        <v/>
      </c>
      <c r="F94" s="111"/>
    </row>
    <row r="95" spans="1:6">
      <c r="A95" s="97" t="str">
        <f>CONCATENATE("Area de trabajo ",A94)</f>
        <v>Area de trabajo 7</v>
      </c>
      <c r="B95" s="88" t="s">
        <v>2</v>
      </c>
      <c r="C95" s="98"/>
      <c r="D95" s="98"/>
      <c r="E95" s="99" t="str">
        <f>IF(C95&lt;&gt;"","&lt;div","")</f>
        <v/>
      </c>
      <c r="F95" s="112"/>
    </row>
    <row r="96" spans="1:6">
      <c r="A96" s="97" t="str">
        <f>CONCATENATE(LOWER("area-de-trabajo-"),A94)</f>
        <v>area-de-trabajo-7</v>
      </c>
      <c r="B96" s="88" t="s">
        <v>2</v>
      </c>
      <c r="C96" s="33" t="str">
        <f>SUBSTITUTE(SUBSTITUTE(SUBSTITUTE(SUBSTITUTE(SUBSTITUTE(SUBSTITUTE(SUBSTITUTE(LOWER(C95)," ","-"),"&lt;",""),"&gt;",""),"é","e"),"á","a"),"ñ","n"),"í","i")</f>
        <v/>
      </c>
      <c r="D96" s="98"/>
      <c r="E96" s="100" t="str">
        <f>IF(C95&lt;&gt;"",CONCATENATE("id=",Comillas,C96,Comillas),"")</f>
        <v/>
      </c>
      <c r="F96" s="112"/>
    </row>
    <row r="97" spans="1:10">
      <c r="A97" s="97"/>
      <c r="B97" s="88" t="s">
        <v>2</v>
      </c>
      <c r="C97" s="88"/>
      <c r="D97" s="88"/>
      <c r="E97" s="100" t="str">
        <f>IF(C95&lt;&gt;"",$F$43,"")</f>
        <v/>
      </c>
      <c r="F97" s="112" t="s">
        <v>114</v>
      </c>
      <c r="J97" s="88" t="s">
        <v>2</v>
      </c>
    </row>
    <row r="98" spans="1:6">
      <c r="A98" s="97"/>
      <c r="B98" s="88" t="s">
        <v>2</v>
      </c>
      <c r="C98" s="88"/>
      <c r="D98" s="88"/>
      <c r="E98" s="100" t="str">
        <f>IF(C95&lt;&gt;"",CONCATENATE("&lt;h2 class=",Comillas,"mt-1",Comillas,"&gt;",C95,"&lt;/h2&gt;"),"")</f>
        <v/>
      </c>
      <c r="F98" s="112"/>
    </row>
    <row r="99" spans="1:6">
      <c r="A99" s="97"/>
      <c r="C99" s="98" t="s">
        <v>115</v>
      </c>
      <c r="D99" s="88"/>
      <c r="E99" s="101" t="str">
        <f>IF(C95&lt;&gt;"",CONCATENATE("&lt;p&gt;",C99,"&lt;/p&gt;"),"")</f>
        <v/>
      </c>
      <c r="F99" s="112"/>
    </row>
    <row r="100" spans="1:6">
      <c r="A100" s="97"/>
      <c r="B100" s="88" t="s">
        <v>2</v>
      </c>
      <c r="C100" s="88"/>
      <c r="D100" s="88"/>
      <c r="E100" s="100" t="str">
        <f>IF(C95&lt;&gt;"","&lt;/div&gt;","")</f>
        <v/>
      </c>
      <c r="F100" s="112"/>
    </row>
    <row r="101" ht="16.95" spans="1:7">
      <c r="A101" s="105"/>
      <c r="B101" s="106" t="s">
        <v>2</v>
      </c>
      <c r="C101" s="106"/>
      <c r="D101" s="107"/>
      <c r="E101" s="106" t="str">
        <f>IF(C95&lt;&gt;"",CONCATENATE("&lt;!-- ",C95," Fin --&gt;"),"")</f>
        <v/>
      </c>
      <c r="F101" s="113"/>
      <c r="G101" s="88" t="s">
        <v>116</v>
      </c>
    </row>
    <row r="102" ht="16.95" spans="1:7">
      <c r="A102" s="97"/>
      <c r="B102" s="109"/>
      <c r="C102" s="109"/>
      <c r="D102" s="110"/>
      <c r="E102" s="100" t="str">
        <f>""</f>
        <v/>
      </c>
      <c r="G102" s="88" t="s">
        <v>2</v>
      </c>
    </row>
    <row r="103" spans="1:6">
      <c r="A103" s="93">
        <f>A94+1</f>
        <v>8</v>
      </c>
      <c r="B103" s="94"/>
      <c r="C103" s="95"/>
      <c r="D103" s="95"/>
      <c r="E103" s="96" t="str">
        <f>IF(C104&lt;&gt;"",CONCATENATE("&lt;!-- ",C104," --&gt;"),"")</f>
        <v/>
      </c>
      <c r="F103" s="111"/>
    </row>
    <row r="104" spans="1:6">
      <c r="A104" s="97" t="str">
        <f>CONCATENATE("Area de trabajo ",A103)</f>
        <v>Area de trabajo 8</v>
      </c>
      <c r="B104" s="88" t="s">
        <v>2</v>
      </c>
      <c r="C104" s="98"/>
      <c r="D104" s="98"/>
      <c r="E104" s="99" t="str">
        <f>IF(C104&lt;&gt;"","&lt;div","")</f>
        <v/>
      </c>
      <c r="F104" s="112"/>
    </row>
    <row r="105" spans="1:6">
      <c r="A105" s="97" t="str">
        <f>CONCATENATE(LOWER("area-de-trabajo-"),A103)</f>
        <v>area-de-trabajo-8</v>
      </c>
      <c r="B105" s="88" t="s">
        <v>2</v>
      </c>
      <c r="C105" s="33" t="str">
        <f>SUBSTITUTE(SUBSTITUTE(SUBSTITUTE(SUBSTITUTE(SUBSTITUTE(SUBSTITUTE(SUBSTITUTE(LOWER(C104)," ","-"),"&lt;",""),"&gt;",""),"é","e"),"á","a"),"ñ","n"),"í","i")</f>
        <v/>
      </c>
      <c r="D105" s="98"/>
      <c r="E105" s="100" t="str">
        <f>IF(C104&lt;&gt;"",CONCATENATE("id=",Comillas,C105,Comillas),"")</f>
        <v/>
      </c>
      <c r="F105" s="112"/>
    </row>
    <row r="106" spans="1:10">
      <c r="A106" s="97"/>
      <c r="B106" s="88" t="s">
        <v>2</v>
      </c>
      <c r="C106" s="88"/>
      <c r="D106" s="88"/>
      <c r="E106" s="100" t="str">
        <f>IF(C104&lt;&gt;"",$F$43,"")</f>
        <v/>
      </c>
      <c r="F106" s="112" t="s">
        <v>114</v>
      </c>
      <c r="J106" s="88" t="s">
        <v>2</v>
      </c>
    </row>
    <row r="107" spans="1:6">
      <c r="A107" s="97"/>
      <c r="B107" s="88" t="s">
        <v>2</v>
      </c>
      <c r="C107" s="88"/>
      <c r="D107" s="88"/>
      <c r="E107" s="100" t="str">
        <f>IF(C104&lt;&gt;"",CONCATENATE("&lt;h2 class=",Comillas,"mt-1",Comillas,"&gt;",C104,"&lt;/h2&gt;"),"")</f>
        <v/>
      </c>
      <c r="F107" s="112"/>
    </row>
    <row r="108" spans="1:6">
      <c r="A108" s="97"/>
      <c r="C108" s="98" t="s">
        <v>115</v>
      </c>
      <c r="D108" s="88"/>
      <c r="E108" s="101" t="str">
        <f>IF(C104&lt;&gt;"",CONCATENATE("&lt;p&gt;",C108,"&lt;/p&gt;"),"")</f>
        <v/>
      </c>
      <c r="F108" s="112"/>
    </row>
    <row r="109" spans="1:6">
      <c r="A109" s="97"/>
      <c r="B109" s="88" t="s">
        <v>2</v>
      </c>
      <c r="C109" s="88"/>
      <c r="D109" s="88"/>
      <c r="E109" s="100" t="str">
        <f>IF(C104&lt;&gt;"","&lt;/div&gt;","")</f>
        <v/>
      </c>
      <c r="F109" s="112"/>
    </row>
    <row r="110" ht="16.95" spans="1:7">
      <c r="A110" s="105"/>
      <c r="B110" s="106" t="s">
        <v>2</v>
      </c>
      <c r="C110" s="106"/>
      <c r="D110" s="107"/>
      <c r="E110" s="106" t="str">
        <f>IF(C104&lt;&gt;"",CONCATENATE("&lt;!-- ",C104," Fin --&gt;"),"")</f>
        <v/>
      </c>
      <c r="F110" s="113"/>
      <c r="G110" s="88" t="s">
        <v>116</v>
      </c>
    </row>
    <row r="111" ht="16.95" spans="1:7">
      <c r="A111" s="97"/>
      <c r="B111" s="109"/>
      <c r="C111" s="109"/>
      <c r="D111" s="110"/>
      <c r="E111" s="100" t="str">
        <f>""</f>
        <v/>
      </c>
      <c r="G111" s="88" t="s">
        <v>2</v>
      </c>
    </row>
    <row r="112" spans="1:6">
      <c r="A112" s="93">
        <f>A103+1</f>
        <v>9</v>
      </c>
      <c r="B112" s="94"/>
      <c r="C112" s="95"/>
      <c r="D112" s="95"/>
      <c r="E112" s="96" t="str">
        <f>IF(C113&lt;&gt;"",CONCATENATE("&lt;!-- ",C113," --&gt;"),"")</f>
        <v/>
      </c>
      <c r="F112" s="111"/>
    </row>
    <row r="113" spans="1:6">
      <c r="A113" s="97" t="str">
        <f>CONCATENATE("Area de trabajo ",A112)</f>
        <v>Area de trabajo 9</v>
      </c>
      <c r="B113" s="88" t="s">
        <v>2</v>
      </c>
      <c r="C113" s="98"/>
      <c r="D113" s="98"/>
      <c r="E113" s="99" t="str">
        <f>IF(C113&lt;&gt;"","&lt;div","")</f>
        <v/>
      </c>
      <c r="F113" s="112"/>
    </row>
    <row r="114" spans="1:6">
      <c r="A114" s="97" t="str">
        <f>CONCATENATE(LOWER("area-de-trabajo-"),A112)</f>
        <v>area-de-trabajo-9</v>
      </c>
      <c r="B114" s="88" t="s">
        <v>2</v>
      </c>
      <c r="C114" s="33" t="str">
        <f>SUBSTITUTE(SUBSTITUTE(SUBSTITUTE(SUBSTITUTE(SUBSTITUTE(SUBSTITUTE(SUBSTITUTE(LOWER(C113)," ","-"),"&lt;",""),"&gt;",""),"é","e"),"á","a"),"ñ","n"),"í","i")</f>
        <v/>
      </c>
      <c r="D114" s="98"/>
      <c r="E114" s="100" t="str">
        <f>IF(C113&lt;&gt;"",CONCATENATE("id=",Comillas,C114,Comillas),"")</f>
        <v/>
      </c>
      <c r="F114" s="112"/>
    </row>
    <row r="115" spans="1:10">
      <c r="A115" s="97"/>
      <c r="B115" s="88" t="s">
        <v>2</v>
      </c>
      <c r="C115" s="88"/>
      <c r="D115" s="88"/>
      <c r="E115" s="100" t="str">
        <f>IF(C113&lt;&gt;"",$F$43,"")</f>
        <v/>
      </c>
      <c r="F115" s="112" t="s">
        <v>114</v>
      </c>
      <c r="J115" s="88" t="s">
        <v>2</v>
      </c>
    </row>
    <row r="116" spans="1:6">
      <c r="A116" s="97"/>
      <c r="B116" s="88" t="s">
        <v>2</v>
      </c>
      <c r="C116" s="88"/>
      <c r="D116" s="88"/>
      <c r="E116" s="100" t="str">
        <f>IF(C113&lt;&gt;"",CONCATENATE("&lt;h2 class=",Comillas,"mt-1",Comillas,"&gt;",C113,"&lt;/h2&gt;"),"")</f>
        <v/>
      </c>
      <c r="F116" s="112"/>
    </row>
    <row r="117" spans="1:6">
      <c r="A117" s="97"/>
      <c r="C117" s="98" t="s">
        <v>115</v>
      </c>
      <c r="D117" s="88"/>
      <c r="E117" s="101" t="str">
        <f>IF(C113&lt;&gt;"",CONCATENATE("&lt;p&gt;",C117,"&lt;/p&gt;"),"")</f>
        <v/>
      </c>
      <c r="F117" s="112"/>
    </row>
    <row r="118" spans="1:6">
      <c r="A118" s="97"/>
      <c r="B118" s="88" t="s">
        <v>2</v>
      </c>
      <c r="C118" s="88"/>
      <c r="D118" s="88"/>
      <c r="E118" s="100" t="str">
        <f>IF(C113&lt;&gt;"","&lt;/div&gt;","")</f>
        <v/>
      </c>
      <c r="F118" s="112"/>
    </row>
    <row r="119" ht="16.95" spans="1:7">
      <c r="A119" s="105"/>
      <c r="B119" s="106" t="s">
        <v>2</v>
      </c>
      <c r="C119" s="106"/>
      <c r="D119" s="107"/>
      <c r="E119" s="106" t="str">
        <f>IF(C113&lt;&gt;"",CONCATENATE("&lt;!-- ",C113," Fin --&gt;"),"")</f>
        <v/>
      </c>
      <c r="F119" s="113"/>
      <c r="G119" s="88" t="s">
        <v>116</v>
      </c>
    </row>
    <row r="120" ht="16.95" spans="1:7">
      <c r="A120" s="97"/>
      <c r="B120" s="109"/>
      <c r="C120" s="109"/>
      <c r="D120" s="110"/>
      <c r="E120" s="100" t="str">
        <f>""</f>
        <v/>
      </c>
      <c r="G120" s="88" t="s">
        <v>2</v>
      </c>
    </row>
    <row r="121" spans="1:6">
      <c r="A121" s="93">
        <f>A112+1</f>
        <v>10</v>
      </c>
      <c r="B121" s="94"/>
      <c r="C121" s="95"/>
      <c r="D121" s="95"/>
      <c r="E121" s="96" t="str">
        <f>IF(C122&lt;&gt;"",CONCATENATE("&lt;!-- ",C122," --&gt;"),"")</f>
        <v/>
      </c>
      <c r="F121" s="111"/>
    </row>
    <row r="122" spans="1:6">
      <c r="A122" s="97" t="str">
        <f>CONCATENATE("Area de trabajo ",A121)</f>
        <v>Area de trabajo 10</v>
      </c>
      <c r="B122" s="88" t="s">
        <v>2</v>
      </c>
      <c r="C122" s="98"/>
      <c r="D122" s="98"/>
      <c r="E122" s="99" t="str">
        <f>IF(C122&lt;&gt;"","&lt;div","")</f>
        <v/>
      </c>
      <c r="F122" s="112"/>
    </row>
    <row r="123" spans="1:6">
      <c r="A123" s="97" t="str">
        <f>CONCATENATE(LOWER("area-de-trabajo-"),A121)</f>
        <v>area-de-trabajo-10</v>
      </c>
      <c r="B123" s="88" t="s">
        <v>2</v>
      </c>
      <c r="C123" s="33" t="str">
        <f>SUBSTITUTE(SUBSTITUTE(SUBSTITUTE(SUBSTITUTE(SUBSTITUTE(SUBSTITUTE(SUBSTITUTE(LOWER(C122)," ","-"),"&lt;",""),"&gt;",""),"é","e"),"á","a"),"ñ","n"),"í","i")</f>
        <v/>
      </c>
      <c r="D123" s="98"/>
      <c r="E123" s="100" t="str">
        <f>IF(C122&lt;&gt;"",CONCATENATE("id=",Comillas,C123,Comillas),"")</f>
        <v/>
      </c>
      <c r="F123" s="112"/>
    </row>
    <row r="124" spans="1:10">
      <c r="A124" s="97"/>
      <c r="B124" s="88" t="s">
        <v>2</v>
      </c>
      <c r="C124" s="88"/>
      <c r="D124" s="88"/>
      <c r="E124" s="100" t="str">
        <f>IF(C122&lt;&gt;"",$F$43,"")</f>
        <v/>
      </c>
      <c r="F124" s="112" t="s">
        <v>114</v>
      </c>
      <c r="J124" s="88" t="s">
        <v>2</v>
      </c>
    </row>
    <row r="125" spans="1:6">
      <c r="A125" s="97"/>
      <c r="B125" s="88" t="s">
        <v>2</v>
      </c>
      <c r="C125" s="88"/>
      <c r="D125" s="88"/>
      <c r="E125" s="100" t="str">
        <f>IF(C122&lt;&gt;"",CONCATENATE("&lt;h2 class=",Comillas,"mt-1",Comillas,"&gt;",C122,"&lt;/h2&gt;"),"")</f>
        <v/>
      </c>
      <c r="F125" s="112"/>
    </row>
    <row r="126" spans="1:6">
      <c r="A126" s="97"/>
      <c r="C126" s="98" t="s">
        <v>115</v>
      </c>
      <c r="D126" s="88"/>
      <c r="E126" s="101" t="str">
        <f>IF(C122&lt;&gt;"",CONCATENATE("&lt;p&gt;",C126,"&lt;/p&gt;"),"")</f>
        <v/>
      </c>
      <c r="F126" s="112"/>
    </row>
    <row r="127" spans="1:6">
      <c r="A127" s="97"/>
      <c r="B127" s="88" t="s">
        <v>2</v>
      </c>
      <c r="C127" s="88"/>
      <c r="D127" s="88"/>
      <c r="E127" s="100" t="str">
        <f>IF(C122&lt;&gt;"","&lt;/div&gt;","")</f>
        <v/>
      </c>
      <c r="F127" s="112"/>
    </row>
    <row r="128" ht="16.95" spans="1:7">
      <c r="A128" s="105"/>
      <c r="B128" s="106" t="s">
        <v>2</v>
      </c>
      <c r="C128" s="106"/>
      <c r="D128" s="107"/>
      <c r="E128" s="106" t="str">
        <f>IF(C122&lt;&gt;"",CONCATENATE("&lt;!-- ",C122," Fin --&gt;"),"")</f>
        <v/>
      </c>
      <c r="F128" s="113"/>
      <c r="G128" s="88" t="s">
        <v>116</v>
      </c>
    </row>
    <row r="129" spans="1:7">
      <c r="A129" s="97"/>
      <c r="B129" s="109"/>
      <c r="C129" s="109"/>
      <c r="D129" s="110"/>
      <c r="E129" s="100" t="str">
        <f>""</f>
        <v/>
      </c>
      <c r="G129" s="88" t="s">
        <v>2</v>
      </c>
    </row>
    <row r="130" spans="2:5">
      <c r="B130" s="88" t="s">
        <v>2</v>
      </c>
      <c r="E130" s="114" t="s">
        <v>112</v>
      </c>
    </row>
    <row r="131" spans="2:7">
      <c r="B131" s="88" t="s">
        <v>2</v>
      </c>
      <c r="E131" s="115" t="s">
        <v>122</v>
      </c>
      <c r="G131" s="88" t="s">
        <v>2</v>
      </c>
    </row>
    <row r="132" customFormat="1" spans="1:7">
      <c r="A132" s="89"/>
      <c r="B132" s="88"/>
      <c r="C132" s="33"/>
      <c r="D132" s="33"/>
      <c r="E132" s="90" t="str">
        <f>CONCATENATE("&lt;!--  ",$C$10," fin --&gt;")</f>
        <v>&lt;!--  Formato de Texto HTML  fin --&gt;</v>
      </c>
      <c r="G132" s="88"/>
    </row>
    <row r="133" customFormat="1" spans="1:7">
      <c r="A133" s="89"/>
      <c r="B133" s="88"/>
      <c r="C133" s="33"/>
      <c r="D133" s="33"/>
      <c r="E133" s="116" t="s">
        <v>123</v>
      </c>
      <c r="G133" s="88"/>
    </row>
    <row r="134" customFormat="1" spans="1:7">
      <c r="A134" s="89"/>
      <c r="B134" s="88"/>
      <c r="C134" s="33"/>
      <c r="D134" s="33"/>
      <c r="E134" s="116" t="s">
        <v>124</v>
      </c>
      <c r="G134" s="88"/>
    </row>
    <row r="135" customFormat="1" spans="1:7">
      <c r="A135" s="89"/>
      <c r="B135" s="88"/>
      <c r="C135" s="33"/>
      <c r="D135" s="33"/>
      <c r="E135" s="116" t="s">
        <v>125</v>
      </c>
      <c r="G135" s="88"/>
    </row>
    <row r="136" customFormat="1" spans="1:7">
      <c r="A136" s="89"/>
      <c r="B136" s="88"/>
      <c r="C136" s="33"/>
      <c r="D136" s="33"/>
      <c r="E136" s="116" t="s">
        <v>126</v>
      </c>
      <c r="G136" s="88"/>
    </row>
    <row r="137" customFormat="1" spans="1:7">
      <c r="A137" s="89"/>
      <c r="B137" s="88"/>
      <c r="C137" s="33"/>
      <c r="D137" s="33"/>
      <c r="E137" s="116" t="s">
        <v>127</v>
      </c>
      <c r="G137" s="88"/>
    </row>
    <row r="138" customFormat="1" spans="1:7">
      <c r="A138" s="89"/>
      <c r="B138" s="88"/>
      <c r="C138" s="33"/>
      <c r="D138" s="33"/>
      <c r="E138" s="116" t="s">
        <v>128</v>
      </c>
      <c r="G138" s="88"/>
    </row>
    <row r="139" customFormat="1" spans="1:7">
      <c r="A139" s="89"/>
      <c r="B139" s="88"/>
      <c r="C139" s="33"/>
      <c r="D139" s="33"/>
      <c r="E139" s="116" t="s">
        <v>129</v>
      </c>
      <c r="G139" s="88"/>
    </row>
    <row r="140" customFormat="1" spans="1:7">
      <c r="A140" s="89"/>
      <c r="B140" s="88"/>
      <c r="C140" s="33"/>
      <c r="D140" s="33"/>
      <c r="E140" s="116" t="s">
        <v>130</v>
      </c>
      <c r="G140" s="88"/>
    </row>
    <row r="141" customFormat="1" spans="1:7">
      <c r="A141" s="89"/>
      <c r="B141" s="88"/>
      <c r="C141" s="33"/>
      <c r="D141" s="33"/>
      <c r="E141" s="116" t="s">
        <v>131</v>
      </c>
      <c r="G141" s="88"/>
    </row>
    <row r="142" customFormat="1" spans="1:7">
      <c r="A142" s="89"/>
      <c r="B142" s="88"/>
      <c r="C142" s="33"/>
      <c r="D142" s="33"/>
      <c r="E142" s="116" t="s">
        <v>132</v>
      </c>
      <c r="G142" s="88"/>
    </row>
    <row r="143" customFormat="1" spans="1:7">
      <c r="A143" s="89"/>
      <c r="B143" s="88"/>
      <c r="C143" s="33"/>
      <c r="D143" s="33"/>
      <c r="E143" s="116" t="s">
        <v>133</v>
      </c>
      <c r="G143" s="88"/>
    </row>
    <row r="144" customFormat="1" spans="1:7">
      <c r="A144" s="89"/>
      <c r="B144" s="88"/>
      <c r="C144" s="33"/>
      <c r="D144" s="33"/>
      <c r="E144" s="116" t="s">
        <v>134</v>
      </c>
      <c r="G144" s="88"/>
    </row>
    <row r="145" customFormat="1" spans="1:7">
      <c r="A145" s="89"/>
      <c r="B145" s="88"/>
      <c r="C145" s="33"/>
      <c r="D145" s="33"/>
      <c r="E145" s="116" t="s">
        <v>135</v>
      </c>
      <c r="G145" s="88"/>
    </row>
    <row r="146" customFormat="1" spans="1:7">
      <c r="A146" s="89"/>
      <c r="B146" s="88"/>
      <c r="C146" s="33"/>
      <c r="D146" s="33"/>
      <c r="E146" s="116" t="s">
        <v>136</v>
      </c>
      <c r="G146" s="88"/>
    </row>
    <row r="147" customFormat="1" spans="1:7">
      <c r="A147" s="89"/>
      <c r="B147" s="88"/>
      <c r="C147" s="33"/>
      <c r="D147" s="33"/>
      <c r="E147" s="116" t="s">
        <v>137</v>
      </c>
      <c r="G147" s="88"/>
    </row>
    <row r="148" s="33" customFormat="1" spans="1:5">
      <c r="A148" s="117"/>
      <c r="B148" s="33"/>
      <c r="C148" s="33"/>
      <c r="D148" s="33"/>
      <c r="E148" s="116" t="s">
        <v>138</v>
      </c>
    </row>
    <row r="149" s="33" customFormat="1" spans="1:5">
      <c r="A149" s="117"/>
      <c r="B149" s="33"/>
      <c r="C149" s="33"/>
      <c r="D149" s="33"/>
      <c r="E149" s="116" t="s">
        <v>139</v>
      </c>
    </row>
    <row r="150" s="33" customFormat="1" spans="1:5">
      <c r="A150" s="117"/>
      <c r="B150" s="33"/>
      <c r="C150" s="33"/>
      <c r="D150" s="33"/>
      <c r="E150" s="116" t="s">
        <v>140</v>
      </c>
    </row>
    <row r="151" s="33" customFormat="1" spans="1:5">
      <c r="A151" s="117"/>
      <c r="B151" s="33"/>
      <c r="C151" s="33"/>
      <c r="D151" s="33"/>
      <c r="E151" s="116" t="s">
        <v>141</v>
      </c>
    </row>
    <row r="152" s="33" customFormat="1" spans="1:5">
      <c r="A152" s="117"/>
      <c r="B152" s="33"/>
      <c r="C152" s="33"/>
      <c r="D152" s="33"/>
      <c r="E152" s="116" t="s">
        <v>142</v>
      </c>
    </row>
    <row r="153" spans="5:5">
      <c r="E153" s="115" t="s">
        <v>143</v>
      </c>
    </row>
    <row r="154" spans="2:7">
      <c r="B154" s="88" t="s">
        <v>2</v>
      </c>
      <c r="E154" s="90" t="str">
        <f>CONCATENATE("&lt;!--  ",$C$10,"--&gt;")</f>
        <v>&lt;!--  Formato de Texto HTML --&gt;</v>
      </c>
      <c r="G154" s="88" t="s">
        <v>2</v>
      </c>
    </row>
    <row r="155" spans="2:7">
      <c r="B155" s="88" t="s">
        <v>2</v>
      </c>
      <c r="E155" s="90" t="s">
        <v>144</v>
      </c>
      <c r="F155" s="88" t="s">
        <v>97</v>
      </c>
      <c r="G155" s="88" t="s">
        <v>2</v>
      </c>
    </row>
    <row r="156" spans="2:5">
      <c r="B156" s="88" t="s">
        <v>2</v>
      </c>
      <c r="E156" s="88" t="s">
        <v>145</v>
      </c>
    </row>
    <row r="157" spans="2:7">
      <c r="B157" s="88" t="s">
        <v>2</v>
      </c>
      <c r="E157" s="88" t="s">
        <v>146</v>
      </c>
      <c r="G157" s="118"/>
    </row>
    <row r="158" spans="2:12">
      <c r="B158" s="88" t="s">
        <v>2</v>
      </c>
      <c r="E158" s="88" t="s">
        <v>147</v>
      </c>
      <c r="G158" s="119"/>
      <c r="K158"/>
      <c r="L158"/>
    </row>
    <row r="159" spans="2:12">
      <c r="B159" s="88" t="s">
        <v>2</v>
      </c>
      <c r="E159" s="88" t="s">
        <v>148</v>
      </c>
      <c r="F159" s="88" t="s">
        <v>33</v>
      </c>
      <c r="K159"/>
      <c r="L159"/>
    </row>
    <row r="160" spans="5:12">
      <c r="E160" s="88" t="s">
        <v>149</v>
      </c>
      <c r="K160"/>
      <c r="L160"/>
    </row>
    <row r="161" ht="16.95" spans="5:12">
      <c r="E161" s="88" t="s">
        <v>150</v>
      </c>
      <c r="K161"/>
      <c r="L161"/>
    </row>
    <row r="162" spans="5:12">
      <c r="E162" s="120" t="str">
        <f>IF($C13&lt;&gt;"",$I$2,"")</f>
        <v>&lt;li class="list-group-item"&gt;</v>
      </c>
      <c r="K162"/>
      <c r="L162"/>
    </row>
    <row r="163" spans="5:12">
      <c r="E163" s="121" t="str">
        <f>IF(C13&lt;&gt;"",CONCATENATE("&lt;a href=",Comillas,"#",C14,Comillas,"&gt;",SUBSTITUTE(C13,"&lt;","&amp;lt;"),,"&lt;/a&gt;"),"")</f>
        <v>&lt;a href="#introduccion"&gt;Introducción&lt;/a&gt;</v>
      </c>
      <c r="K163"/>
      <c r="L163"/>
    </row>
    <row r="164" ht="16.95" spans="2:12">
      <c r="B164" s="88" t="s">
        <v>2</v>
      </c>
      <c r="E164" s="122" t="str">
        <f>IF(C13&lt;&gt;"","&lt;/li&gt;","")</f>
        <v>&lt;/li&gt;</v>
      </c>
      <c r="F164" s="88" t="s">
        <v>2</v>
      </c>
      <c r="K164"/>
      <c r="L164"/>
    </row>
    <row r="165" spans="2:12">
      <c r="B165" s="88" t="s">
        <v>2</v>
      </c>
      <c r="E165" s="120" t="str">
        <f>IF($C$41&lt;&gt;"",$I$2,"")</f>
        <v>&lt;li class="list-group-item"&gt;</v>
      </c>
      <c r="F165" s="88" t="s">
        <v>2</v>
      </c>
      <c r="K165"/>
      <c r="L165"/>
    </row>
    <row r="166" spans="2:12">
      <c r="B166" s="88" t="s">
        <v>2</v>
      </c>
      <c r="E166" s="121" t="str">
        <f>IF(C41&lt;&gt;"",CONCATENATE("&lt;a href=",Comillas,"#",C42,Comillas,"&gt;",SUBSTITUTE(C41,"&lt;","&amp;lt;"),"&lt;/a&gt;"),"")</f>
        <v>&lt;a href="#etiquetas-html-b-negrita-y-strong-importante"&gt;Etiquetas HTML &amp;lt;b&gt; Negrita y &amp;lt;strong&gt; Importante&lt;/a&gt;</v>
      </c>
      <c r="K166"/>
      <c r="L166"/>
    </row>
    <row r="167" ht="16.95" spans="2:12">
      <c r="B167" s="88" t="s">
        <v>2</v>
      </c>
      <c r="E167" s="122" t="str">
        <f>IF($C$41&lt;&gt;"","&lt;/li&gt;","")</f>
        <v>&lt;/li&gt;</v>
      </c>
      <c r="K167"/>
      <c r="L167"/>
    </row>
    <row r="168" spans="5:12">
      <c r="E168" s="120" t="str">
        <f>IF($C$50&lt;&gt;"",$I$2,"")</f>
        <v>&lt;li class="list-group-item"&gt;</v>
      </c>
      <c r="K168"/>
      <c r="L168"/>
    </row>
    <row r="169" spans="5:5">
      <c r="E169" s="121" t="str">
        <f>IF(C50&lt;&gt;"",CONCATENATE("&lt;a href=",Comillas,"#",C51,Comillas,"&gt;",SUBSTITUTE(C50,"&lt;","&amp;lt;"),,"&lt;/a&gt;"),"")</f>
        <v>&lt;a href="#etiquetas-html-i-italica-y-em-enfasis"&gt;Etiquetas HTML &amp;lt;i&gt; Itálica y &amp;lt;em&gt; Enfásis&lt;/a&gt;</v>
      </c>
    </row>
    <row r="170" ht="16.95" spans="5:5">
      <c r="E170" s="122" t="str">
        <f>IF($C$50&lt;&gt;"","&lt;/li&gt;","")</f>
        <v>&lt;/li&gt;</v>
      </c>
    </row>
    <row r="171" spans="5:5">
      <c r="E171" s="120" t="str">
        <f>IF(C59&lt;&gt;"",$I$2,"")</f>
        <v>&lt;li class="list-group-item"&gt;</v>
      </c>
    </row>
    <row r="172" spans="5:5">
      <c r="E172" s="121" t="str">
        <f>IF(C59&lt;&gt;"",CONCATENATE("&lt;a href=",Comillas,"#",C60,Comillas,"&gt;",SUBSTITUTE(C59,"&lt;","&amp;lt;"),"&lt;/a&gt;"),"")</f>
        <v>&lt;a href="#etiqueta-html-mark-resaltado"&gt;Etiqueta HTML &amp;lt;mark&gt; Resaltado&lt;/a&gt;</v>
      </c>
    </row>
    <row r="173" ht="16.95" spans="5:5">
      <c r="E173" s="122" t="str">
        <f>IF(C59&lt;&gt;"","&lt;/li&gt;","")</f>
        <v>&lt;/li&gt;</v>
      </c>
    </row>
    <row r="174" spans="5:5">
      <c r="E174" s="120" t="str">
        <f>IF(C68&lt;&gt;"",$I$2,"")</f>
        <v>&lt;li class="list-group-item"&gt;</v>
      </c>
    </row>
    <row r="175" spans="5:5">
      <c r="E175" s="121" t="str">
        <f>IF(C68&lt;&gt;"",CONCATENATE("&lt;a href=",Comillas,"#",C69,Comillas,"&gt;",SUBSTITUTE(C68,"&lt;","&amp;lt;"),"&lt;/a&gt;"),"")</f>
        <v>&lt;a href="#etiqueta-html-small-pequeno"&gt;Etiqueta HTML &amp;lt;small&gt; Pequeño&lt;/a&gt;</v>
      </c>
    </row>
    <row r="176" ht="16.95" spans="5:5">
      <c r="E176" s="122" t="str">
        <f>IF(C68&lt;&gt;"","&lt;/li&gt;","")</f>
        <v>&lt;/li&gt;</v>
      </c>
    </row>
    <row r="177" spans="5:5">
      <c r="E177" s="120" t="str">
        <f>IF(C77&lt;&gt;"",$I$2,"")</f>
        <v>&lt;li class="list-group-item"&gt;</v>
      </c>
    </row>
    <row r="178" spans="5:9">
      <c r="E178" s="121" t="str">
        <f>IF(C77&lt;&gt;"",CONCATENATE("&lt;a href=",Comillas,"#",C78,Comillas,"&gt;",C77,"&lt;/a&gt;"),"")</f>
        <v>&lt;a href="#etiquetas-html-del-borrado-y-ins-insertado"&gt;Etiquetas HTML &lt;del&gt; Borrado y &lt;ins&gt; Insertado&lt;/a&gt;</v>
      </c>
      <c r="H178" s="123"/>
      <c r="I178" s="123"/>
    </row>
    <row r="179" ht="16.95" spans="5:10">
      <c r="E179" s="122" t="str">
        <f>IF(C77&lt;&gt;"","&lt;/li&gt;","")</f>
        <v>&lt;/li&gt;</v>
      </c>
      <c r="J179" s="123"/>
    </row>
    <row r="180" spans="5:5">
      <c r="E180" s="120" t="str">
        <f>IF(C86&lt;&gt;"",$I$2,"")</f>
        <v>&lt;li class="list-group-item"&gt;</v>
      </c>
    </row>
    <row r="181" spans="5:12">
      <c r="E181" s="121" t="str">
        <f>IF(C86&lt;&gt;"",CONCATENATE("&lt;a href=",Comillas,"#",C87,Comillas,"&gt;",C86,"&lt;/a&gt;"),"")</f>
        <v>&lt;a href="#etiquetas-html-sup-superindice-y-sub-subrindice"&gt;Etiquetas HTML &lt;sup&gt; Superíndice y &lt;sub&gt; Subríndice&lt;/a&gt;</v>
      </c>
      <c r="K181" s="123"/>
      <c r="L181" s="123"/>
    </row>
    <row r="182" ht="16.95" spans="5:5">
      <c r="E182" s="122" t="str">
        <f>IF(C77&lt;&gt;"","&lt;/li&gt;","")</f>
        <v>&lt;/li&gt;</v>
      </c>
    </row>
    <row r="183" spans="5:5">
      <c r="E183" s="120" t="str">
        <f>IF(C95&lt;&gt;"",$I$2,"")</f>
        <v/>
      </c>
    </row>
    <row r="184" spans="5:5">
      <c r="E184" s="121" t="str">
        <f>IF(C95&lt;&gt;"",CONCATENATE("&lt;a href=",Comillas,"#",C96,Comillas,"&gt;",C95,"&lt;/a&gt;"),"")</f>
        <v/>
      </c>
    </row>
    <row r="185" ht="16.95" spans="5:5">
      <c r="E185" s="122" t="str">
        <f>IF(C95&lt;&gt;"","&lt;/li&gt;","")</f>
        <v/>
      </c>
    </row>
    <row r="186" spans="2:6">
      <c r="B186" s="123"/>
      <c r="C186" s="123"/>
      <c r="D186" s="123"/>
      <c r="E186" s="120" t="str">
        <f>IF(C104&lt;&gt;"",$I$2,"")</f>
        <v/>
      </c>
      <c r="F186" s="123"/>
    </row>
    <row r="187" spans="5:7">
      <c r="E187" s="121" t="str">
        <f>IF(C104&lt;&gt;"",CONCATENATE("&lt;a href=",Comillas,"#",C105,Comillas,"&gt;",C104,"&lt;/a&gt;"),"")</f>
        <v/>
      </c>
      <c r="G187" s="123"/>
    </row>
    <row r="188" ht="16.95" spans="5:5">
      <c r="E188" s="122" t="str">
        <f>IF(C104&lt;&gt;"","&lt;/li&gt;","")</f>
        <v/>
      </c>
    </row>
    <row r="189" spans="5:5">
      <c r="E189" s="120" t="str">
        <f>IF(C113&lt;&gt;"",$I$2,"")</f>
        <v/>
      </c>
    </row>
    <row r="190" spans="5:5">
      <c r="E190" s="121" t="str">
        <f>IF(C113&lt;&gt;"",CONCATENATE("&lt;a href=",Comillas,"#",C114,Comillas,"&gt;",C113,"&lt;/a&gt;"),"")</f>
        <v/>
      </c>
    </row>
    <row r="191" ht="16.95" spans="5:5">
      <c r="E191" s="122" t="str">
        <f>IF(C113&lt;&gt;"","&lt;/li&gt;","")</f>
        <v/>
      </c>
    </row>
    <row r="192" spans="5:5">
      <c r="E192" s="120" t="str">
        <f>IF(C122&lt;&gt;"",$I$2,"")</f>
        <v/>
      </c>
    </row>
    <row r="193" spans="5:5">
      <c r="E193" s="121" t="str">
        <f>IF(C122&lt;&gt;"",CONCATENATE("&lt;a href=",Comillas,"#",C123,Comillas,"&gt;",C23,"&lt;/a&gt;"),"")</f>
        <v/>
      </c>
    </row>
    <row r="194" ht="16.95" spans="5:5">
      <c r="E194" s="121" t="str">
        <f>IF(C122&lt;&gt;"","&lt;/li&gt;","")</f>
        <v/>
      </c>
    </row>
    <row r="195" spans="5:5">
      <c r="E195" s="120" t="s">
        <v>151</v>
      </c>
    </row>
    <row r="196" spans="5:5">
      <c r="E196" s="121" t="s">
        <v>152</v>
      </c>
    </row>
    <row r="197" ht="16.95" spans="5:5">
      <c r="E197" s="122" t="s">
        <v>153</v>
      </c>
    </row>
    <row r="198" spans="5:5">
      <c r="E198" s="88" t="s">
        <v>154</v>
      </c>
    </row>
    <row r="199" spans="5:5">
      <c r="E199" s="88" t="s">
        <v>112</v>
      </c>
    </row>
    <row r="200" spans="5:5">
      <c r="E200" s="88" t="s">
        <v>155</v>
      </c>
    </row>
    <row r="201" spans="5:5">
      <c r="E201" s="88" t="s">
        <v>156</v>
      </c>
    </row>
    <row r="202" spans="5:5">
      <c r="E202" s="88" t="s">
        <v>112</v>
      </c>
    </row>
    <row r="203" spans="5:5">
      <c r="E203" s="124" t="s">
        <v>157</v>
      </c>
    </row>
    <row r="204"/>
    <row r="205" spans="5:5">
      <c r="E205" s="123"/>
    </row>
  </sheetData>
  <conditionalFormatting sqref="E31">
    <cfRule type="duplicateValues" dxfId="0" priority="22"/>
  </conditionalFormatting>
  <conditionalFormatting sqref="A33">
    <cfRule type="duplicateValues" dxfId="0" priority="156"/>
  </conditionalFormatting>
  <conditionalFormatting sqref="E47">
    <cfRule type="duplicateValues" dxfId="0" priority="160"/>
  </conditionalFormatting>
  <conditionalFormatting sqref="E56">
    <cfRule type="duplicateValues" dxfId="0" priority="48"/>
  </conditionalFormatting>
  <conditionalFormatting sqref="E65">
    <cfRule type="duplicateValues" dxfId="0" priority="47"/>
  </conditionalFormatting>
  <conditionalFormatting sqref="E74">
    <cfRule type="duplicateValues" dxfId="0" priority="46"/>
  </conditionalFormatting>
  <conditionalFormatting sqref="E83">
    <cfRule type="duplicateValues" dxfId="0" priority="45"/>
  </conditionalFormatting>
  <conditionalFormatting sqref="E92">
    <cfRule type="duplicateValues" dxfId="0" priority="11"/>
  </conditionalFormatting>
  <conditionalFormatting sqref="E101">
    <cfRule type="duplicateValues" dxfId="0" priority="10"/>
  </conditionalFormatting>
  <conditionalFormatting sqref="E110">
    <cfRule type="duplicateValues" dxfId="0" priority="9"/>
  </conditionalFormatting>
  <conditionalFormatting sqref="E119">
    <cfRule type="duplicateValues" dxfId="0" priority="8"/>
  </conditionalFormatting>
  <conditionalFormatting sqref="E128">
    <cfRule type="duplicateValues" dxfId="0" priority="7"/>
  </conditionalFormatting>
  <conditionalFormatting sqref="C$1:C$1048576">
    <cfRule type="duplicateValues" dxfId="0"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265"/>
  <sheetViews>
    <sheetView workbookViewId="0">
      <pane ySplit="1" topLeftCell="A45" activePane="bottomLeft" state="frozen"/>
      <selection/>
      <selection pane="bottomLeft" activeCell="F1" sqref="F1:F73"/>
    </sheetView>
  </sheetViews>
  <sheetFormatPr defaultColWidth="9" defaultRowHeight="13.8"/>
  <cols>
    <col min="4" max="4" width="23.25" customWidth="1"/>
    <col min="5" max="5" width="4.2" customWidth="1"/>
    <col min="6" max="6" width="34.375" customWidth="1"/>
    <col min="12" max="12" width="18.25" customWidth="1"/>
    <col min="14" max="14" width="27.75" customWidth="1"/>
    <col min="21" max="21" width="18.25" customWidth="1"/>
    <col min="23" max="23" width="27.75" customWidth="1"/>
    <col min="26" max="26" width="0.7" customWidth="1"/>
    <col min="27" max="27" width="62.9" customWidth="1"/>
  </cols>
  <sheetData>
    <row r="1" ht="14.55" spans="4:23">
      <c r="D1" t="s">
        <v>158</v>
      </c>
      <c r="F1" s="67" t="str">
        <f>""</f>
        <v/>
      </c>
      <c r="L1" t="s">
        <v>159</v>
      </c>
      <c r="N1" s="67" t="str">
        <f>""</f>
        <v/>
      </c>
      <c r="U1" t="s">
        <v>160</v>
      </c>
      <c r="W1" s="67" t="str">
        <f>""</f>
        <v/>
      </c>
    </row>
    <row r="2" ht="16.2" spans="1:27">
      <c r="A2" s="68" t="str">
        <f>CONCATENATE("Título ",A4)</f>
        <v>Título 1</v>
      </c>
      <c r="B2" s="69"/>
      <c r="C2" s="69"/>
      <c r="D2" s="70" t="s">
        <v>161</v>
      </c>
      <c r="E2" s="69" t="s">
        <v>2</v>
      </c>
      <c r="F2" s="71" t="str">
        <f>CONCATENATE("&lt;!-- ",CONCATENATE(D2," ",D3)," --&gt;")</f>
        <v>&lt;!-- Definición Fragmento en Línea &lt;span&gt; --&gt;</v>
      </c>
      <c r="G2" s="72"/>
      <c r="H2" t="s">
        <v>2</v>
      </c>
      <c r="I2" s="83" t="s">
        <v>162</v>
      </c>
      <c r="J2" s="69"/>
      <c r="K2" s="69"/>
      <c r="L2" s="70" t="s">
        <v>163</v>
      </c>
      <c r="M2" s="69"/>
      <c r="N2" s="69" t="str">
        <f>CONCATENATE("&lt;!-- ",L2," --&gt;")</f>
        <v>&lt;!-- Agregando Roles ARIA --&gt;</v>
      </c>
      <c r="O2" s="72"/>
      <c r="P2" t="s">
        <v>2</v>
      </c>
      <c r="R2" s="83" t="str">
        <f>I2</f>
        <v>Título 1 </v>
      </c>
      <c r="S2" s="69"/>
      <c r="T2" s="69"/>
      <c r="U2" s="70" t="s">
        <v>164</v>
      </c>
      <c r="V2" s="69"/>
      <c r="W2" s="69" t="str">
        <f>CONCATENATE("&lt;!-- ",U2," --&gt;")</f>
        <v>&lt;!-- Sintaxis Básica &lt;nav&gt; --&gt;</v>
      </c>
      <c r="X2" s="72"/>
      <c r="Y2" t="s">
        <v>2</v>
      </c>
      <c r="Z2" s="88"/>
      <c r="AA2" s="88" t="s">
        <v>165</v>
      </c>
    </row>
    <row r="3" ht="16.2" spans="1:27">
      <c r="A3" s="73" t="s">
        <v>166</v>
      </c>
      <c r="B3" s="74"/>
      <c r="C3" s="75"/>
      <c r="D3" s="76" t="s">
        <v>165</v>
      </c>
      <c r="F3" t="s">
        <v>90</v>
      </c>
      <c r="G3" s="77"/>
      <c r="H3" t="s">
        <v>2</v>
      </c>
      <c r="I3" s="73" t="s">
        <v>166</v>
      </c>
      <c r="J3" s="74" t="s">
        <v>167</v>
      </c>
      <c r="K3" s="75" t="s">
        <v>168</v>
      </c>
      <c r="N3" t="str">
        <f>CONCATENATE(J3,L3,K3)</f>
        <v>&lt;div &gt;</v>
      </c>
      <c r="O3" s="77"/>
      <c r="P3" t="s">
        <v>2</v>
      </c>
      <c r="R3" s="73" t="s">
        <v>166</v>
      </c>
      <c r="S3" s="74" t="s">
        <v>167</v>
      </c>
      <c r="T3" s="75" t="s">
        <v>168</v>
      </c>
      <c r="W3" t="str">
        <f>CONCATENATE(S3,U3,T3)</f>
        <v>&lt;div &gt;</v>
      </c>
      <c r="X3" s="77"/>
      <c r="Y3" t="s">
        <v>2</v>
      </c>
      <c r="Z3" s="88"/>
      <c r="AA3" s="88"/>
    </row>
    <row r="4" ht="16.2" spans="1:27">
      <c r="A4" s="78">
        <v>1</v>
      </c>
      <c r="D4" s="79" t="str">
        <f>SUBSTITUTE(SUBSTITUTE(SUBSTITUTE(LOWER(CONCATENATE(D2," ",D3))," ","-"),"&lt;",""),"&gt;","")</f>
        <v>definición-fragmento-en-línea-span</v>
      </c>
      <c r="E4" s="79" t="str">
        <f>CONCATENATE("id=",Comillas,D4,Comillas)</f>
        <v>id="definición-fragmento-en-línea-span"</v>
      </c>
      <c r="F4" s="80" t="str">
        <f>CONCATENATE("&lt;h3&gt;",SUBSTITUTE(CONCATENATE(D2," ",D3),"&lt;","&amp;lt;"),"&lt;/h3&gt;")</f>
        <v>&lt;h3&gt;Definición Fragmento en Línea &amp;lt;span&gt;&lt;/h3&gt;</v>
      </c>
      <c r="G4" s="77"/>
      <c r="H4" t="s">
        <v>2</v>
      </c>
      <c r="I4" s="73"/>
      <c r="N4" t="str">
        <f>CONCATENATE("&lt;h4&gt;",L2,"&lt;/h4&gt;")</f>
        <v>&lt;h4&gt;Agregando Roles ARIA&lt;/h4&gt;</v>
      </c>
      <c r="O4" s="77"/>
      <c r="P4" t="s">
        <v>2</v>
      </c>
      <c r="R4" s="73"/>
      <c r="W4" t="str">
        <f>CONCATENATE("&lt;h5&gt;",U2,"&lt;/h5&gt;")</f>
        <v>&lt;h5&gt;Sintaxis Básica &lt;nav&gt;&lt;/h5&gt;</v>
      </c>
      <c r="X4" s="77"/>
      <c r="Y4" t="s">
        <v>2</v>
      </c>
      <c r="Z4" s="88" t="s">
        <v>169</v>
      </c>
      <c r="AA4" s="88" t="str">
        <f>CONCATENATE(Z4," ",$AA$2)</f>
        <v>definición Fragmento en Línea &lt;span&gt;</v>
      </c>
    </row>
    <row r="5" ht="16.2" spans="1:27">
      <c r="A5" s="73"/>
      <c r="F5" t="str">
        <f>IF(D6&lt;&gt;"","&lt;p&gt;","")</f>
        <v/>
      </c>
      <c r="G5" s="77"/>
      <c r="H5" t="s">
        <v>2</v>
      </c>
      <c r="I5" s="73"/>
      <c r="N5" t="str">
        <f>IF(L6&lt;&gt;"","&lt;p&gt;","")</f>
        <v/>
      </c>
      <c r="O5" s="77"/>
      <c r="P5" t="s">
        <v>2</v>
      </c>
      <c r="R5" s="73"/>
      <c r="W5" t="str">
        <f>IF(U6&lt;&gt;"","&lt;p&gt;","")</f>
        <v/>
      </c>
      <c r="X5" s="77"/>
      <c r="Y5" t="s">
        <v>2</v>
      </c>
      <c r="Z5" s="88" t="s">
        <v>170</v>
      </c>
      <c r="AA5" s="88" t="str">
        <f>CONCATENATE(Z5," ",$AA$2)</f>
        <v>Características clave Fragmento en Línea &lt;span&gt;</v>
      </c>
    </row>
    <row r="6" ht="16.2" spans="1:27">
      <c r="A6" s="73" t="s">
        <v>171</v>
      </c>
      <c r="D6" s="76"/>
      <c r="E6" t="s">
        <v>2</v>
      </c>
      <c r="F6" t="str">
        <f>IF(D6&lt;&gt;"",D6,"")</f>
        <v/>
      </c>
      <c r="G6" s="77"/>
      <c r="H6" t="s">
        <v>2</v>
      </c>
      <c r="I6" s="73" t="s">
        <v>171</v>
      </c>
      <c r="L6" s="76"/>
      <c r="M6" t="s">
        <v>2</v>
      </c>
      <c r="N6" t="str">
        <f>IF(L6&lt;&gt;"",L6,"")</f>
        <v/>
      </c>
      <c r="O6" s="77"/>
      <c r="P6" t="s">
        <v>2</v>
      </c>
      <c r="Q6" t="s">
        <v>2</v>
      </c>
      <c r="R6" s="73" t="s">
        <v>171</v>
      </c>
      <c r="U6" s="76"/>
      <c r="V6" t="s">
        <v>2</v>
      </c>
      <c r="W6" t="str">
        <f>IF(U6&lt;&gt;"",U6,"")</f>
        <v/>
      </c>
      <c r="X6" s="77"/>
      <c r="Y6" t="s">
        <v>2</v>
      </c>
      <c r="Z6" s="88" t="s">
        <v>172</v>
      </c>
      <c r="AA6" s="88" t="str">
        <f>CONCATENATE(Z6," ",$AA$2)</f>
        <v>Sintaxis Correcta Fragmento en Línea &lt;span&gt;</v>
      </c>
    </row>
    <row r="7" ht="16.2" spans="1:27">
      <c r="A7" s="73"/>
      <c r="F7" t="s">
        <v>112</v>
      </c>
      <c r="G7" s="77"/>
      <c r="H7" t="s">
        <v>2</v>
      </c>
      <c r="I7" s="73"/>
      <c r="N7" t="s">
        <v>112</v>
      </c>
      <c r="O7" s="77"/>
      <c r="P7" t="s">
        <v>2</v>
      </c>
      <c r="R7" s="73"/>
      <c r="W7" t="s">
        <v>112</v>
      </c>
      <c r="X7" s="77"/>
      <c r="Y7" t="s">
        <v>2</v>
      </c>
      <c r="Z7" s="88" t="s">
        <v>173</v>
      </c>
      <c r="AA7" s="88" t="str">
        <f>CONCATENATE(Z7," ",$AA$2)</f>
        <v>Uso Fragmento en Línea &lt;span&gt;</v>
      </c>
    </row>
    <row r="8" ht="16.95" spans="1:27">
      <c r="A8" s="81"/>
      <c r="B8" s="67"/>
      <c r="C8" s="67"/>
      <c r="D8" s="67"/>
      <c r="E8" s="67"/>
      <c r="F8" s="67" t="str">
        <f>CONCATENATE("&lt;!-- ",D2," fin --&gt;")</f>
        <v>&lt;!-- Definición fin --&gt;</v>
      </c>
      <c r="G8" s="82"/>
      <c r="H8" t="s">
        <v>2</v>
      </c>
      <c r="I8" s="81"/>
      <c r="J8" s="67"/>
      <c r="K8" s="67"/>
      <c r="L8" s="67"/>
      <c r="M8" s="67"/>
      <c r="N8" s="67" t="str">
        <f>CONCATENATE("&lt;!-- ",L2," fin --&gt;")</f>
        <v>&lt;!-- Agregando Roles ARIA fin --&gt;</v>
      </c>
      <c r="O8" s="82"/>
      <c r="P8" t="s">
        <v>2</v>
      </c>
      <c r="R8" s="81"/>
      <c r="S8" s="67"/>
      <c r="T8" s="67"/>
      <c r="U8" s="67"/>
      <c r="V8" s="67"/>
      <c r="W8" s="67" t="str">
        <f>CONCATENATE("&lt;!-- ",U2," fin --&gt;")</f>
        <v>&lt;!-- Sintaxis Básica &lt;nav&gt; fin --&gt;</v>
      </c>
      <c r="X8" s="82"/>
      <c r="Y8" t="s">
        <v>2</v>
      </c>
      <c r="Z8" s="88" t="s">
        <v>174</v>
      </c>
      <c r="AA8" s="88" t="str">
        <f>CONCATENATE(Z8," ",$AA$2)</f>
        <v>Relación con Otras Etiquetas Fragmento en Línea &lt;span&gt;</v>
      </c>
    </row>
    <row r="9" ht="16.95" spans="1:27">
      <c r="A9" s="83"/>
      <c r="B9" s="69"/>
      <c r="C9" s="69"/>
      <c r="D9" s="84"/>
      <c r="E9" s="69"/>
      <c r="F9" s="67" t="str">
        <f>""</f>
        <v/>
      </c>
      <c r="H9" t="s">
        <v>2</v>
      </c>
      <c r="I9" s="83"/>
      <c r="J9" s="69"/>
      <c r="K9" s="69"/>
      <c r="L9" s="84"/>
      <c r="M9" s="69"/>
      <c r="N9" s="67" t="str">
        <f>""</f>
        <v/>
      </c>
      <c r="R9" s="83"/>
      <c r="S9" s="69"/>
      <c r="T9" s="69"/>
      <c r="U9" s="84"/>
      <c r="V9" s="69"/>
      <c r="W9" s="67" t="str">
        <f>""</f>
        <v/>
      </c>
      <c r="Z9" s="88" t="s">
        <v>175</v>
      </c>
      <c r="AA9" s="88" t="str">
        <f>CONCATENATE(Z9," ",$AA$2)</f>
        <v>Buenas Prácticas y Errores Comunes Fragmento en Línea &lt;span&gt;</v>
      </c>
    </row>
    <row r="10" ht="16.2" spans="1:27">
      <c r="A10" s="68" t="str">
        <f>CONCATENATE("Título ",A12)</f>
        <v>Título 2</v>
      </c>
      <c r="B10" s="69"/>
      <c r="C10" s="69"/>
      <c r="D10" s="70" t="s">
        <v>176</v>
      </c>
      <c r="E10" s="69" t="s">
        <v>2</v>
      </c>
      <c r="F10" s="71" t="str">
        <f>CONCATENATE("&lt;!-- ",CONCATENATE(D10," ",D11)," --&gt;")</f>
        <v>&lt;!-- Características Fragmento en Línea &lt;span&gt; --&gt;</v>
      </c>
      <c r="G10" s="72"/>
      <c r="H10" t="s">
        <v>2</v>
      </c>
      <c r="I10" s="83" t="s">
        <v>177</v>
      </c>
      <c r="J10" s="69"/>
      <c r="K10" s="69"/>
      <c r="L10" s="70" t="s">
        <v>178</v>
      </c>
      <c r="M10" s="69" t="s">
        <v>2</v>
      </c>
      <c r="N10" s="69" t="str">
        <f>CONCATENATE("&lt;!-- ",L10," --&gt;")</f>
        <v>&lt;!-- Etiquetas ARIA para Accesibilidad --&gt;</v>
      </c>
      <c r="O10" s="72"/>
      <c r="R10" s="83" t="str">
        <f>I10</f>
        <v>Título 2</v>
      </c>
      <c r="S10" s="69"/>
      <c r="T10" s="69"/>
      <c r="U10" s="70" t="s">
        <v>179</v>
      </c>
      <c r="V10" s="69"/>
      <c r="W10" s="69" t="str">
        <f>CONCATENATE("&lt;!-- ",U10," --&gt;")</f>
        <v>&lt;!-- Sintaxis con Etiquetas Semánticas &lt;nav&gt; --&gt;</v>
      </c>
      <c r="X10" s="72"/>
      <c r="Y10" t="s">
        <v>2</v>
      </c>
      <c r="Z10" s="88" t="s">
        <v>180</v>
      </c>
      <c r="AA10" s="88" t="str">
        <f>CONCATENATE(Z10," ",$AA$2)</f>
        <v>Configuración CSS por Defecto Fragmento en Línea &lt;span&gt;</v>
      </c>
    </row>
    <row r="11" ht="16.2" spans="1:27">
      <c r="A11" s="73" t="s">
        <v>166</v>
      </c>
      <c r="B11" s="74"/>
      <c r="C11" s="75"/>
      <c r="D11" s="76" t="str">
        <f>D3</f>
        <v>Fragmento en Línea &lt;span&gt;</v>
      </c>
      <c r="F11" t="s">
        <v>90</v>
      </c>
      <c r="G11" s="77"/>
      <c r="H11" t="s">
        <v>2</v>
      </c>
      <c r="I11" s="73" t="s">
        <v>166</v>
      </c>
      <c r="J11" s="74" t="s">
        <v>167</v>
      </c>
      <c r="K11" s="75" t="s">
        <v>168</v>
      </c>
      <c r="N11" t="str">
        <f>CONCATENATE(J11,L11,K11)</f>
        <v>&lt;div &gt;</v>
      </c>
      <c r="O11" s="77"/>
      <c r="R11" s="73" t="s">
        <v>166</v>
      </c>
      <c r="S11" s="74" t="s">
        <v>167</v>
      </c>
      <c r="T11" s="75" t="s">
        <v>168</v>
      </c>
      <c r="W11" t="str">
        <f>CONCATENATE(S11,U11,T11)</f>
        <v>&lt;div &gt;</v>
      </c>
      <c r="X11" s="77"/>
      <c r="Y11" t="s">
        <v>2</v>
      </c>
      <c r="Z11" s="88" t="s">
        <v>181</v>
      </c>
      <c r="AA11" s="88" t="str">
        <f>CONCATENATE(Z11," ",$AA$2)</f>
        <v>Ejemplo Aplicado en un Proyecto Real Fragmento en Línea &lt;span&gt;</v>
      </c>
    </row>
    <row r="12" ht="16.2" spans="1:27">
      <c r="A12" s="78">
        <f>A4+1</f>
        <v>2</v>
      </c>
      <c r="D12" s="79" t="str">
        <f>SUBSTITUTE(SUBSTITUTE(SUBSTITUTE(LOWER(CONCATENATE(D10," ",D11))," ","-"),"&lt;",""),"&gt;","")</f>
        <v>características-fragmento-en-línea-span</v>
      </c>
      <c r="E12" s="79" t="str">
        <f>CONCATENATE("id=",Comillas,D12,Comillas)</f>
        <v>id="características-fragmento-en-línea-span"</v>
      </c>
      <c r="F12" s="80" t="str">
        <f>CONCATENATE("&lt;h3&gt;",SUBSTITUTE(CONCATENATE(D10," ",D11),"&lt;","&amp;lt;"),"&lt;/h3&gt;")</f>
        <v>&lt;h3&gt;Características Fragmento en Línea &amp;lt;span&gt;&lt;/h3&gt;</v>
      </c>
      <c r="G12" s="77"/>
      <c r="H12" t="s">
        <v>2</v>
      </c>
      <c r="I12" s="73"/>
      <c r="N12" t="str">
        <f>CONCATENATE("&lt;h4&gt;",L10,"&lt;/h4&gt;")</f>
        <v>&lt;h4&gt;Etiquetas ARIA para Accesibilidad&lt;/h4&gt;</v>
      </c>
      <c r="O12" s="77"/>
      <c r="R12" s="73"/>
      <c r="W12" t="str">
        <f>CONCATENATE("&lt;h5&gt;",U10,"&lt;/h5&gt;")</f>
        <v>&lt;h5&gt;Sintaxis con Etiquetas Semánticas &lt;nav&gt;&lt;/h5&gt;</v>
      </c>
      <c r="X12" s="77"/>
      <c r="Y12" t="s">
        <v>2</v>
      </c>
      <c r="Z12" s="88" t="s">
        <v>182</v>
      </c>
      <c r="AA12" s="88" t="str">
        <f>CONCATENATE(Z12," ",$AA$2)</f>
        <v>Uso con Tecnologías de Asistencia (ARIA) Fragmento en Línea &lt;span&gt;</v>
      </c>
    </row>
    <row r="13" spans="1:25">
      <c r="A13" s="73"/>
      <c r="F13" t="str">
        <f>IF(D14&lt;&gt;"","&lt;p&gt;","")</f>
        <v/>
      </c>
      <c r="G13" s="77"/>
      <c r="H13" t="s">
        <v>2</v>
      </c>
      <c r="I13" s="73"/>
      <c r="N13" t="str">
        <f>IF(L14&lt;&gt;"","&lt;p&gt;","")</f>
        <v/>
      </c>
      <c r="O13" s="77"/>
      <c r="R13" s="73"/>
      <c r="W13" t="str">
        <f>IF(U14&lt;&gt;"","&lt;p&gt;","")</f>
        <v/>
      </c>
      <c r="X13" s="77"/>
      <c r="Y13" t="s">
        <v>2</v>
      </c>
    </row>
    <row r="14" spans="1:25">
      <c r="A14" s="73" t="s">
        <v>171</v>
      </c>
      <c r="D14" s="76"/>
      <c r="E14" t="s">
        <v>2</v>
      </c>
      <c r="F14" t="str">
        <f>IF(D14&lt;&gt;"",D14,"")</f>
        <v/>
      </c>
      <c r="G14" s="77"/>
      <c r="H14" t="s">
        <v>2</v>
      </c>
      <c r="I14" s="73" t="s">
        <v>171</v>
      </c>
      <c r="L14" s="76"/>
      <c r="M14" t="s">
        <v>2</v>
      </c>
      <c r="N14" t="str">
        <f>IF(L14&lt;&gt;"",L14,"")</f>
        <v/>
      </c>
      <c r="O14" s="77"/>
      <c r="Q14" t="s">
        <v>2</v>
      </c>
      <c r="R14" s="73" t="s">
        <v>171</v>
      </c>
      <c r="U14" s="76"/>
      <c r="V14" t="s">
        <v>2</v>
      </c>
      <c r="W14" t="str">
        <f>IF(U14&lt;&gt;"",U14,"")</f>
        <v/>
      </c>
      <c r="X14" s="77"/>
      <c r="Y14" t="s">
        <v>2</v>
      </c>
    </row>
    <row r="15" spans="1:25">
      <c r="A15" s="73"/>
      <c r="F15" t="s">
        <v>112</v>
      </c>
      <c r="G15" s="77"/>
      <c r="H15" t="s">
        <v>2</v>
      </c>
      <c r="I15" s="73"/>
      <c r="N15" t="s">
        <v>112</v>
      </c>
      <c r="O15" s="77"/>
      <c r="R15" s="73"/>
      <c r="W15" t="s">
        <v>112</v>
      </c>
      <c r="X15" s="77"/>
      <c r="Y15" t="s">
        <v>2</v>
      </c>
    </row>
    <row r="16" ht="14.55" spans="1:25">
      <c r="A16" s="81"/>
      <c r="B16" s="67"/>
      <c r="C16" s="67"/>
      <c r="D16" s="67"/>
      <c r="E16" s="67"/>
      <c r="F16" s="67" t="str">
        <f>CONCATENATE("&lt;!-- ",D10," fin --&gt;")</f>
        <v>&lt;!-- Características fin --&gt;</v>
      </c>
      <c r="G16" s="82"/>
      <c r="H16" t="s">
        <v>2</v>
      </c>
      <c r="I16" s="81"/>
      <c r="J16" s="67"/>
      <c r="K16" s="67"/>
      <c r="L16" s="67"/>
      <c r="M16" s="67"/>
      <c r="N16" s="67" t="str">
        <f>CONCATENATE("&lt;!-- ",L10," fin --&gt;")</f>
        <v>&lt;!-- Etiquetas ARIA para Accesibilidad fin --&gt;</v>
      </c>
      <c r="O16" s="82"/>
      <c r="R16" s="81"/>
      <c r="S16" s="67"/>
      <c r="T16" s="67"/>
      <c r="U16" s="67"/>
      <c r="V16" s="67"/>
      <c r="W16" s="67" t="str">
        <f>CONCATENATE("&lt;!-- ",U10," fin --&gt;")</f>
        <v>&lt;!-- Sintaxis con Etiquetas Semánticas &lt;nav&gt; fin --&gt;</v>
      </c>
      <c r="X16" s="82"/>
      <c r="Y16" t="s">
        <v>2</v>
      </c>
    </row>
    <row r="17" ht="14.55" spans="1:23">
      <c r="A17" s="83"/>
      <c r="B17" s="69"/>
      <c r="C17" s="69"/>
      <c r="D17" s="84"/>
      <c r="E17" s="69"/>
      <c r="F17" s="67" t="str">
        <f>""</f>
        <v/>
      </c>
      <c r="H17" t="s">
        <v>2</v>
      </c>
      <c r="I17" s="73"/>
      <c r="J17" s="86"/>
      <c r="K17" s="86"/>
      <c r="L17" s="86"/>
      <c r="M17" s="86"/>
      <c r="N17" s="86"/>
      <c r="O17" s="77"/>
      <c r="R17" s="83"/>
      <c r="S17" s="69"/>
      <c r="T17" s="69"/>
      <c r="U17" s="84"/>
      <c r="V17" s="69"/>
      <c r="W17" s="67" t="str">
        <f>""</f>
        <v/>
      </c>
    </row>
    <row r="18" spans="1:25">
      <c r="A18" s="68" t="str">
        <f>CONCATENATE("Título ",A20)</f>
        <v>Título 3</v>
      </c>
      <c r="B18" s="69"/>
      <c r="C18" s="69"/>
      <c r="D18" s="70" t="s">
        <v>172</v>
      </c>
      <c r="E18" s="69" t="s">
        <v>2</v>
      </c>
      <c r="F18" s="71" t="str">
        <f>CONCATENATE("&lt;!-- ",CONCATENATE(D18," ",D19)," --&gt;")</f>
        <v>&lt;!-- Sintaxis Correcta Fragmento en Línea &lt;span&gt; --&gt;</v>
      </c>
      <c r="G18" s="72"/>
      <c r="H18" t="s">
        <v>2</v>
      </c>
      <c r="I18" s="83" t="s">
        <v>183</v>
      </c>
      <c r="J18" s="69"/>
      <c r="K18" s="69"/>
      <c r="L18" s="70" t="s">
        <v>184</v>
      </c>
      <c r="M18" s="69"/>
      <c r="N18" s="69" t="str">
        <f>CONCATENATE("&lt;!-- ",L18," --&gt;")</f>
        <v>&lt;!-- Marcadores de Región con ARIA --&gt;</v>
      </c>
      <c r="O18" s="72"/>
      <c r="P18" t="s">
        <v>2</v>
      </c>
      <c r="R18" s="83" t="str">
        <f>I18</f>
        <v>Título 3</v>
      </c>
      <c r="S18" s="69"/>
      <c r="T18" s="69"/>
      <c r="U18" s="70" t="s">
        <v>185</v>
      </c>
      <c r="V18" s="69"/>
      <c r="W18" s="69" t="str">
        <f>CONCATENATE("&lt;!-- ",U18," --&gt;")</f>
        <v>&lt;!-- Ejemplo con Submenús &lt;nav&gt; --&gt;</v>
      </c>
      <c r="X18" s="72"/>
      <c r="Y18" t="s">
        <v>2</v>
      </c>
    </row>
    <row r="19" customFormat="1" ht="14.4" spans="1:25">
      <c r="A19" s="73" t="s">
        <v>166</v>
      </c>
      <c r="B19" s="74"/>
      <c r="C19" s="75"/>
      <c r="D19" s="76" t="str">
        <f>D11</f>
        <v>Fragmento en Línea &lt;span&gt;</v>
      </c>
      <c r="F19" t="s">
        <v>90</v>
      </c>
      <c r="G19" s="77"/>
      <c r="H19" t="s">
        <v>2</v>
      </c>
      <c r="I19" s="73" t="s">
        <v>166</v>
      </c>
      <c r="J19" s="74" t="s">
        <v>167</v>
      </c>
      <c r="K19" s="75" t="s">
        <v>168</v>
      </c>
      <c r="N19" t="str">
        <f>CONCATENATE(J19,L19,K19)</f>
        <v>&lt;div &gt;</v>
      </c>
      <c r="O19" s="77"/>
      <c r="P19" t="s">
        <v>2</v>
      </c>
      <c r="R19" s="73" t="s">
        <v>166</v>
      </c>
      <c r="S19" s="74" t="s">
        <v>167</v>
      </c>
      <c r="T19" s="75" t="s">
        <v>168</v>
      </c>
      <c r="W19" t="str">
        <f>CONCATENATE(S19,U19,T19)</f>
        <v>&lt;div &gt;</v>
      </c>
      <c r="X19" s="77"/>
      <c r="Y19" t="s">
        <v>2</v>
      </c>
    </row>
    <row r="20" customFormat="1" spans="1:25">
      <c r="A20" s="78">
        <f>A12+1</f>
        <v>3</v>
      </c>
      <c r="D20" s="79" t="str">
        <f>SUBSTITUTE(SUBSTITUTE(SUBSTITUTE(LOWER(CONCATENATE(D18," ",D19))," ","-"),"&lt;",""),"&gt;","")</f>
        <v>sintaxis-correcta-fragmento-en-línea-span</v>
      </c>
      <c r="E20" s="79" t="str">
        <f>CONCATENATE("id=",Comillas,D20,Comillas)</f>
        <v>id="sintaxis-correcta-fragmento-en-línea-span"</v>
      </c>
      <c r="F20" s="80" t="str">
        <f>CONCATENATE("&lt;h3&gt;",SUBSTITUTE(CONCATENATE(D18," ",D19),"&lt;","&amp;lt;"),"&lt;/h3&gt;")</f>
        <v>&lt;h3&gt;Sintaxis Correcta Fragmento en Línea &amp;lt;span&gt;&lt;/h3&gt;</v>
      </c>
      <c r="G20" s="77"/>
      <c r="H20" t="s">
        <v>2</v>
      </c>
      <c r="I20" s="73"/>
      <c r="N20" t="str">
        <f>CONCATENATE("&lt;h4&gt;",L18,"&lt;/h4&gt;")</f>
        <v>&lt;h4&gt;Marcadores de Región con ARIA&lt;/h4&gt;</v>
      </c>
      <c r="O20" s="77"/>
      <c r="P20" t="s">
        <v>2</v>
      </c>
      <c r="R20" s="73"/>
      <c r="W20" t="str">
        <f>CONCATENATE("&lt;h5&gt;",U18,"&lt;/h5&gt;")</f>
        <v>&lt;h5&gt;Ejemplo con Submenús &lt;nav&gt;&lt;/h5&gt;</v>
      </c>
      <c r="X20" s="77"/>
      <c r="Y20" t="s">
        <v>2</v>
      </c>
    </row>
    <row r="21" customFormat="1" spans="1:25">
      <c r="A21" s="73"/>
      <c r="F21" t="str">
        <f>IF(D22&lt;&gt;"","&lt;p&gt;","")</f>
        <v/>
      </c>
      <c r="G21" s="77"/>
      <c r="H21" t="s">
        <v>2</v>
      </c>
      <c r="I21" s="73"/>
      <c r="N21" t="str">
        <f>IF(L22&lt;&gt;"","&lt;p&gt;","")</f>
        <v/>
      </c>
      <c r="O21" s="77"/>
      <c r="P21" t="s">
        <v>2</v>
      </c>
      <c r="R21" s="73"/>
      <c r="W21" t="str">
        <f>IF(U22&lt;&gt;"","&lt;p&gt;","")</f>
        <v/>
      </c>
      <c r="X21" s="77"/>
      <c r="Y21" t="s">
        <v>2</v>
      </c>
    </row>
    <row r="22" customFormat="1" spans="1:25">
      <c r="A22" s="73" t="s">
        <v>171</v>
      </c>
      <c r="D22" s="76"/>
      <c r="E22" t="s">
        <v>2</v>
      </c>
      <c r="F22" t="str">
        <f>IF(D22&lt;&gt;"",D22,"")</f>
        <v/>
      </c>
      <c r="G22" s="77"/>
      <c r="H22" t="s">
        <v>2</v>
      </c>
      <c r="I22" s="73" t="s">
        <v>171</v>
      </c>
      <c r="L22" s="76"/>
      <c r="M22" t="s">
        <v>2</v>
      </c>
      <c r="N22" t="str">
        <f>IF(L22&lt;&gt;"",L22,"")</f>
        <v/>
      </c>
      <c r="O22" s="77"/>
      <c r="P22" t="s">
        <v>2</v>
      </c>
      <c r="R22" s="73" t="s">
        <v>171</v>
      </c>
      <c r="U22" s="76"/>
      <c r="V22" t="s">
        <v>2</v>
      </c>
      <c r="W22" t="str">
        <f>IF(U22&lt;&gt;"",U22,"")</f>
        <v/>
      </c>
      <c r="X22" s="77"/>
      <c r="Y22" t="s">
        <v>2</v>
      </c>
    </row>
    <row r="23" customFormat="1" spans="1:25">
      <c r="A23" s="73"/>
      <c r="F23" t="s">
        <v>112</v>
      </c>
      <c r="G23" s="77"/>
      <c r="H23" t="s">
        <v>2</v>
      </c>
      <c r="I23" s="73"/>
      <c r="N23" t="s">
        <v>112</v>
      </c>
      <c r="O23" s="77"/>
      <c r="P23" t="s">
        <v>2</v>
      </c>
      <c r="R23" s="73"/>
      <c r="W23" t="s">
        <v>112</v>
      </c>
      <c r="X23" s="77"/>
      <c r="Y23" t="s">
        <v>2</v>
      </c>
    </row>
    <row r="24" ht="14.55" spans="1:25">
      <c r="A24" s="81"/>
      <c r="B24" s="67"/>
      <c r="C24" s="67"/>
      <c r="D24" s="67"/>
      <c r="E24" s="67"/>
      <c r="F24" s="67" t="str">
        <f>CONCATENATE("&lt;!-- ",D18," fin --&gt;")</f>
        <v>&lt;!-- Sintaxis Correcta fin --&gt;</v>
      </c>
      <c r="G24" s="82"/>
      <c r="H24" t="s">
        <v>2</v>
      </c>
      <c r="I24" s="81"/>
      <c r="J24" s="67"/>
      <c r="K24" s="67"/>
      <c r="L24" s="67"/>
      <c r="M24" s="67"/>
      <c r="N24" s="67" t="str">
        <f>CONCATENATE("&lt;!-- ",L18," fin --&gt;")</f>
        <v>&lt;!-- Marcadores de Región con ARIA fin --&gt;</v>
      </c>
      <c r="O24" s="82"/>
      <c r="P24" t="s">
        <v>2</v>
      </c>
      <c r="R24" s="81"/>
      <c r="S24" s="67"/>
      <c r="T24" s="67"/>
      <c r="U24" s="67"/>
      <c r="V24" s="67"/>
      <c r="W24" s="67" t="str">
        <f>CONCATENATE("&lt;!-- ",U18," fin --&gt;")</f>
        <v>&lt;!-- Ejemplo con Submenús &lt;nav&gt; fin --&gt;</v>
      </c>
      <c r="X24" s="82"/>
      <c r="Y24" t="s">
        <v>2</v>
      </c>
    </row>
    <row r="25" ht="14.55" spans="1:23">
      <c r="A25" s="83"/>
      <c r="B25" s="69"/>
      <c r="C25" s="69"/>
      <c r="D25" s="84"/>
      <c r="E25" s="69"/>
      <c r="F25" s="67" t="str">
        <f>""</f>
        <v/>
      </c>
      <c r="I25" s="83"/>
      <c r="J25" s="69"/>
      <c r="K25" s="69"/>
      <c r="L25" s="84"/>
      <c r="M25" s="69"/>
      <c r="N25" s="67" t="str">
        <f>""</f>
        <v/>
      </c>
      <c r="P25" t="s">
        <v>2</v>
      </c>
      <c r="R25" s="83"/>
      <c r="S25" s="69"/>
      <c r="T25" s="69"/>
      <c r="U25" s="84"/>
      <c r="V25" s="69"/>
      <c r="W25" s="67" t="str">
        <f>""</f>
        <v/>
      </c>
    </row>
    <row r="26" spans="1:25">
      <c r="A26" s="68" t="str">
        <f>CONCATENATE("Título ",A28)</f>
        <v>Título 4</v>
      </c>
      <c r="B26" s="69"/>
      <c r="C26" s="69"/>
      <c r="D26" s="70" t="s">
        <v>173</v>
      </c>
      <c r="E26" s="69" t="s">
        <v>2</v>
      </c>
      <c r="F26" s="71" t="str">
        <f>CONCATENATE("&lt;!-- ",CONCATENATE(D26," ",D27)," --&gt;")</f>
        <v>&lt;!-- Uso Fragmento en Línea &lt;span&gt; --&gt;</v>
      </c>
      <c r="G26" s="72"/>
      <c r="H26" t="s">
        <v>2</v>
      </c>
      <c r="I26" s="83" t="s">
        <v>186</v>
      </c>
      <c r="J26" s="69"/>
      <c r="K26" s="69"/>
      <c r="L26" s="70" t="s">
        <v>187</v>
      </c>
      <c r="M26" s="69"/>
      <c r="N26" s="69" t="str">
        <f>CONCATENATE("&lt;!-- ",L26," --&gt;")</f>
        <v>&lt;!-- Mejores Prácticas ARIA con &lt;div&gt; --&gt;</v>
      </c>
      <c r="O26" s="72"/>
      <c r="P26" t="s">
        <v>2</v>
      </c>
      <c r="R26" s="83" t="str">
        <f>I26</f>
        <v>Título 4</v>
      </c>
      <c r="S26" s="69"/>
      <c r="T26" s="69"/>
      <c r="U26" s="70" t="s">
        <v>188</v>
      </c>
      <c r="V26" s="69"/>
      <c r="W26" s="69" t="str">
        <f>CONCATENATE("&lt;!-- ",U26," --&gt;")</f>
        <v>&lt;!-- Cuándo Usar ARIA en &lt;nav&gt; --&gt;</v>
      </c>
      <c r="X26" s="72"/>
      <c r="Y26" t="s">
        <v>2</v>
      </c>
    </row>
    <row r="27" ht="14.4" spans="1:25">
      <c r="A27" s="73" t="s">
        <v>166</v>
      </c>
      <c r="B27" s="74"/>
      <c r="C27" s="75"/>
      <c r="D27" s="76" t="str">
        <f>D19</f>
        <v>Fragmento en Línea &lt;span&gt;</v>
      </c>
      <c r="F27" t="s">
        <v>90</v>
      </c>
      <c r="G27" s="77"/>
      <c r="H27" t="s">
        <v>2</v>
      </c>
      <c r="I27" s="73" t="s">
        <v>166</v>
      </c>
      <c r="J27" s="74" t="s">
        <v>167</v>
      </c>
      <c r="K27" s="75" t="s">
        <v>168</v>
      </c>
      <c r="N27" t="str">
        <f>CONCATENATE(J27,L27,K27)</f>
        <v>&lt;div &gt;</v>
      </c>
      <c r="O27" s="77"/>
      <c r="P27" t="s">
        <v>2</v>
      </c>
      <c r="R27" s="73" t="s">
        <v>166</v>
      </c>
      <c r="S27" s="74" t="s">
        <v>167</v>
      </c>
      <c r="T27" s="75" t="s">
        <v>168</v>
      </c>
      <c r="W27" t="str">
        <f>CONCATENATE(S27,U27,T27)</f>
        <v>&lt;div &gt;</v>
      </c>
      <c r="X27" s="77"/>
      <c r="Y27" t="s">
        <v>2</v>
      </c>
    </row>
    <row r="28" spans="1:25">
      <c r="A28" s="78">
        <f>A20+1</f>
        <v>4</v>
      </c>
      <c r="D28" s="79" t="str">
        <f>SUBSTITUTE(SUBSTITUTE(SUBSTITUTE(LOWER(CONCATENATE(D26," ",D27))," ","-"),"&lt;",""),"&gt;","")</f>
        <v>uso-fragmento-en-línea-span</v>
      </c>
      <c r="E28" s="79" t="str">
        <f>CONCATENATE("id=",Comillas,D28,Comillas)</f>
        <v>id="uso-fragmento-en-línea-span"</v>
      </c>
      <c r="F28" s="80" t="str">
        <f>CONCATENATE("&lt;h3&gt;",SUBSTITUTE(CONCATENATE(D26," ",D27),"&lt;","&amp;lt;"),"&lt;/h3&gt;")</f>
        <v>&lt;h3&gt;Uso Fragmento en Línea &amp;lt;span&gt;&lt;/h3&gt;</v>
      </c>
      <c r="G28" s="77"/>
      <c r="H28" t="s">
        <v>2</v>
      </c>
      <c r="I28" s="73"/>
      <c r="N28" t="str">
        <f>CONCATENATE("&lt;h4&gt;",L26,"&lt;/h4&gt;")</f>
        <v>&lt;h4&gt;Mejores Prácticas ARIA con &lt;div&gt;&lt;/h4&gt;</v>
      </c>
      <c r="O28" s="77"/>
      <c r="P28" t="s">
        <v>2</v>
      </c>
      <c r="R28" s="73"/>
      <c r="W28" t="str">
        <f>CONCATENATE("&lt;h5&gt;",U26,"&lt;/h5&gt;")</f>
        <v>&lt;h5&gt;Cuándo Usar ARIA en &lt;nav&gt;&lt;/h5&gt;</v>
      </c>
      <c r="X28" s="77"/>
      <c r="Y28" t="s">
        <v>2</v>
      </c>
    </row>
    <row r="29" spans="1:25">
      <c r="A29" s="73"/>
      <c r="F29" t="str">
        <f>IF(D30&lt;&gt;"","&lt;p&gt;","")</f>
        <v/>
      </c>
      <c r="G29" s="77"/>
      <c r="H29" t="s">
        <v>2</v>
      </c>
      <c r="I29" s="73"/>
      <c r="N29" t="str">
        <f>IF(L30&lt;&gt;"","&lt;p&gt;","")</f>
        <v/>
      </c>
      <c r="O29" s="77"/>
      <c r="P29" t="s">
        <v>2</v>
      </c>
      <c r="R29" s="73"/>
      <c r="W29" t="str">
        <f>IF(U30&lt;&gt;"","&lt;p&gt;","")</f>
        <v/>
      </c>
      <c r="X29" s="77"/>
      <c r="Y29" t="s">
        <v>2</v>
      </c>
    </row>
    <row r="30" spans="1:25">
      <c r="A30" s="73" t="s">
        <v>171</v>
      </c>
      <c r="D30" s="76"/>
      <c r="E30" t="s">
        <v>2</v>
      </c>
      <c r="F30" t="str">
        <f>IF(D30&lt;&gt;"",D30,"")</f>
        <v/>
      </c>
      <c r="G30" s="77"/>
      <c r="H30" t="s">
        <v>2</v>
      </c>
      <c r="I30" s="73" t="s">
        <v>171</v>
      </c>
      <c r="L30" s="76"/>
      <c r="M30" t="s">
        <v>2</v>
      </c>
      <c r="N30" t="str">
        <f>IF(L30&lt;&gt;"",L30,"")</f>
        <v/>
      </c>
      <c r="O30" s="77"/>
      <c r="P30" t="s">
        <v>2</v>
      </c>
      <c r="Q30" t="s">
        <v>2</v>
      </c>
      <c r="R30" s="73" t="s">
        <v>171</v>
      </c>
      <c r="U30" s="76"/>
      <c r="V30" t="s">
        <v>2</v>
      </c>
      <c r="W30" t="str">
        <f>IF(U30&lt;&gt;"",U30,"")</f>
        <v/>
      </c>
      <c r="X30" s="77"/>
      <c r="Y30" t="s">
        <v>2</v>
      </c>
    </row>
    <row r="31" spans="1:25">
      <c r="A31" s="73"/>
      <c r="F31" t="s">
        <v>112</v>
      </c>
      <c r="G31" s="77"/>
      <c r="H31" t="s">
        <v>2</v>
      </c>
      <c r="I31" s="73"/>
      <c r="N31" t="s">
        <v>112</v>
      </c>
      <c r="O31" s="77"/>
      <c r="P31" t="s">
        <v>2</v>
      </c>
      <c r="R31" s="73"/>
      <c r="W31" t="s">
        <v>112</v>
      </c>
      <c r="X31" s="77"/>
      <c r="Y31" t="s">
        <v>2</v>
      </c>
    </row>
    <row r="32" ht="14.55" spans="1:25">
      <c r="A32" s="81"/>
      <c r="B32" s="67"/>
      <c r="C32" s="67"/>
      <c r="D32" s="67"/>
      <c r="E32" s="67"/>
      <c r="F32" s="67" t="str">
        <f>CONCATENATE("&lt;!-- ",D26," fin --&gt;")</f>
        <v>&lt;!-- Uso fin --&gt;</v>
      </c>
      <c r="G32" s="82"/>
      <c r="H32" t="s">
        <v>2</v>
      </c>
      <c r="I32" s="81"/>
      <c r="J32" s="67"/>
      <c r="K32" s="67"/>
      <c r="L32" s="67"/>
      <c r="M32" s="67"/>
      <c r="N32" s="67" t="str">
        <f>CONCATENATE("&lt;!-- ",L26," fin --&gt;")</f>
        <v>&lt;!-- Mejores Prácticas ARIA con &lt;div&gt; fin --&gt;</v>
      </c>
      <c r="O32" s="82"/>
      <c r="P32" t="s">
        <v>2</v>
      </c>
      <c r="R32" s="81"/>
      <c r="S32" s="67"/>
      <c r="T32" s="67"/>
      <c r="U32" s="67"/>
      <c r="V32" s="67"/>
      <c r="W32" s="67" t="str">
        <f>CONCATENATE("&lt;!-- ",U26," fin --&gt;")</f>
        <v>&lt;!-- Cuándo Usar ARIA en &lt;nav&gt; fin --&gt;</v>
      </c>
      <c r="X32" s="82"/>
      <c r="Y32" t="s">
        <v>2</v>
      </c>
    </row>
    <row r="33" ht="14.55" spans="1:23">
      <c r="A33" s="83"/>
      <c r="B33" s="69"/>
      <c r="C33" s="69"/>
      <c r="D33" s="84"/>
      <c r="E33" s="69"/>
      <c r="F33" s="67" t="str">
        <f>""</f>
        <v/>
      </c>
      <c r="I33" s="83"/>
      <c r="J33" s="69"/>
      <c r="K33" s="69"/>
      <c r="L33" s="84"/>
      <c r="M33" s="69"/>
      <c r="N33" s="67" t="str">
        <f>""</f>
        <v/>
      </c>
      <c r="R33" s="83"/>
      <c r="S33" s="69"/>
      <c r="T33" s="69"/>
      <c r="U33" s="84"/>
      <c r="V33" s="69"/>
      <c r="W33" s="67" t="str">
        <f>""</f>
        <v/>
      </c>
    </row>
    <row r="34" spans="1:25">
      <c r="A34" s="68" t="str">
        <f>CONCATENATE("Título ",A36)</f>
        <v>Título 5</v>
      </c>
      <c r="B34" s="69"/>
      <c r="C34" s="69"/>
      <c r="D34" s="85" t="s">
        <v>174</v>
      </c>
      <c r="E34" s="69" t="s">
        <v>2</v>
      </c>
      <c r="F34" s="71" t="str">
        <f>CONCATENATE("&lt;!-- ",CONCATENATE(D34," ",D35)," --&gt;")</f>
        <v>&lt;!-- Relación con Otras Etiquetas Fragmento en Línea &lt;span&gt; --&gt;</v>
      </c>
      <c r="G34" s="72"/>
      <c r="H34" t="s">
        <v>2</v>
      </c>
      <c r="I34" s="83" t="s">
        <v>189</v>
      </c>
      <c r="J34" s="69"/>
      <c r="K34" s="69"/>
      <c r="L34" s="70"/>
      <c r="M34" s="69" t="s">
        <v>2</v>
      </c>
      <c r="N34" s="69" t="str">
        <f>CONCATENATE("&lt;!-- ",L34," --&gt;")</f>
        <v>&lt;!--  --&gt;</v>
      </c>
      <c r="O34" s="72"/>
      <c r="R34" s="83" t="str">
        <f>I34</f>
        <v>Título 5</v>
      </c>
      <c r="S34" s="69"/>
      <c r="T34" s="69"/>
      <c r="U34" s="70" t="s">
        <v>190</v>
      </c>
      <c r="V34" s="69"/>
      <c r="W34" s="69" t="str">
        <f>CONCATENATE("&lt;!-- ",U34," --&gt;")</f>
        <v>&lt;!--  ARIA Recomendado para &lt;aside&gt; --&gt;</v>
      </c>
      <c r="X34" s="72"/>
      <c r="Y34" t="s">
        <v>2</v>
      </c>
    </row>
    <row r="35" ht="14.4" spans="1:25">
      <c r="A35" s="73" t="s">
        <v>166</v>
      </c>
      <c r="B35" s="74"/>
      <c r="C35" s="75"/>
      <c r="D35" s="76" t="str">
        <f>D27</f>
        <v>Fragmento en Línea &lt;span&gt;</v>
      </c>
      <c r="F35" t="s">
        <v>90</v>
      </c>
      <c r="G35" s="77"/>
      <c r="H35" t="s">
        <v>2</v>
      </c>
      <c r="I35" s="73" t="s">
        <v>166</v>
      </c>
      <c r="J35" s="74" t="s">
        <v>167</v>
      </c>
      <c r="K35" s="75" t="s">
        <v>168</v>
      </c>
      <c r="N35" t="str">
        <f>CONCATENATE(J35,L35,K35)</f>
        <v>&lt;div &gt;</v>
      </c>
      <c r="O35" s="77"/>
      <c r="R35" s="73" t="s">
        <v>166</v>
      </c>
      <c r="S35" s="74" t="s">
        <v>167</v>
      </c>
      <c r="T35" s="75" t="s">
        <v>168</v>
      </c>
      <c r="W35" t="str">
        <f>CONCATENATE(S35,U35,T35)</f>
        <v>&lt;div &gt;</v>
      </c>
      <c r="X35" s="77"/>
      <c r="Y35" t="s">
        <v>2</v>
      </c>
    </row>
    <row r="36" spans="1:25">
      <c r="A36" s="78">
        <f>A28+1</f>
        <v>5</v>
      </c>
      <c r="D36" s="79" t="str">
        <f>SUBSTITUTE(SUBSTITUTE(SUBSTITUTE(LOWER(CONCATENATE(D34," ",D35))," ","-"),"&lt;",""),"&gt;","")</f>
        <v>relación-con-otras-etiquetas-fragmento-en-línea-span</v>
      </c>
      <c r="E36" s="79" t="str">
        <f>CONCATENATE("id=",Comillas,D36,Comillas)</f>
        <v>id="relación-con-otras-etiquetas-fragmento-en-línea-span"</v>
      </c>
      <c r="F36" s="80" t="str">
        <f>CONCATENATE("&lt;h3&gt;",SUBSTITUTE(CONCATENATE(D34," ",D35),"&lt;","&amp;lt;"),"&lt;/h3&gt;")</f>
        <v>&lt;h3&gt;Relación con Otras Etiquetas Fragmento en Línea &amp;lt;span&gt;&lt;/h3&gt;</v>
      </c>
      <c r="G36" s="77"/>
      <c r="H36" t="s">
        <v>2</v>
      </c>
      <c r="I36" s="73"/>
      <c r="N36" t="str">
        <f>CONCATENATE("&lt;h4&gt;",L34,"&lt;/h4&gt;")</f>
        <v>&lt;h4&gt;&lt;/h4&gt;</v>
      </c>
      <c r="O36" s="77"/>
      <c r="R36" s="73"/>
      <c r="W36" t="str">
        <f>CONCATENATE("&lt;h5&gt;",U34,"&lt;/h5&gt;")</f>
        <v>&lt;h5&gt; ARIA Recomendado para &lt;aside&gt;&lt;/h5&gt;</v>
      </c>
      <c r="X36" s="77"/>
      <c r="Y36" t="s">
        <v>2</v>
      </c>
    </row>
    <row r="37" spans="1:25">
      <c r="A37" s="73"/>
      <c r="F37" t="str">
        <f>IF(D38&lt;&gt;"","&lt;p&gt;","")</f>
        <v/>
      </c>
      <c r="G37" s="77"/>
      <c r="H37" t="s">
        <v>2</v>
      </c>
      <c r="I37" s="73"/>
      <c r="N37" t="str">
        <f>IF(L38&lt;&gt;"","&lt;p&gt;","")</f>
        <v/>
      </c>
      <c r="O37" s="77"/>
      <c r="R37" s="73"/>
      <c r="W37" t="str">
        <f>IF(U38&lt;&gt;"","&lt;p&gt;","")</f>
        <v/>
      </c>
      <c r="X37" s="77"/>
      <c r="Y37" t="s">
        <v>2</v>
      </c>
    </row>
    <row r="38" spans="1:25">
      <c r="A38" s="73" t="s">
        <v>171</v>
      </c>
      <c r="D38" s="76"/>
      <c r="E38" t="s">
        <v>2</v>
      </c>
      <c r="F38" t="str">
        <f>IF(D38&lt;&gt;"",D38,"")</f>
        <v/>
      </c>
      <c r="G38" s="77"/>
      <c r="H38" t="s">
        <v>2</v>
      </c>
      <c r="I38" s="73" t="s">
        <v>171</v>
      </c>
      <c r="L38" s="76"/>
      <c r="M38" t="s">
        <v>2</v>
      </c>
      <c r="N38" t="str">
        <f>IF(L38&lt;&gt;"",L38,"")</f>
        <v/>
      </c>
      <c r="O38" s="77"/>
      <c r="R38" s="73" t="s">
        <v>171</v>
      </c>
      <c r="U38" s="76"/>
      <c r="V38" t="s">
        <v>2</v>
      </c>
      <c r="W38" t="str">
        <f>IF(U38&lt;&gt;"",U38,"")</f>
        <v/>
      </c>
      <c r="X38" s="77"/>
      <c r="Y38" t="s">
        <v>2</v>
      </c>
    </row>
    <row r="39" spans="1:25">
      <c r="A39" s="73"/>
      <c r="F39" t="s">
        <v>112</v>
      </c>
      <c r="G39" s="77"/>
      <c r="H39" t="s">
        <v>2</v>
      </c>
      <c r="I39" s="73"/>
      <c r="N39" t="s">
        <v>112</v>
      </c>
      <c r="O39" s="77"/>
      <c r="R39" s="73"/>
      <c r="W39" t="s">
        <v>112</v>
      </c>
      <c r="X39" s="77"/>
      <c r="Y39" t="s">
        <v>2</v>
      </c>
    </row>
    <row r="40" ht="14.55" spans="1:25">
      <c r="A40" s="81"/>
      <c r="B40" s="67"/>
      <c r="C40" s="67"/>
      <c r="D40" s="67"/>
      <c r="E40" s="67"/>
      <c r="F40" s="67" t="str">
        <f>CONCATENATE("&lt;!-- ",D34," fin --&gt;")</f>
        <v>&lt;!-- Relación con Otras Etiquetas fin --&gt;</v>
      </c>
      <c r="G40" s="82"/>
      <c r="H40" t="s">
        <v>2</v>
      </c>
      <c r="I40" s="81"/>
      <c r="J40" s="67"/>
      <c r="K40" s="67"/>
      <c r="L40" s="67"/>
      <c r="M40" s="67"/>
      <c r="N40" s="67" t="str">
        <f>CONCATENATE("&lt;!-- ",L34," fin --&gt;")</f>
        <v>&lt;!--  fin --&gt;</v>
      </c>
      <c r="O40" s="82"/>
      <c r="R40" s="81"/>
      <c r="S40" s="67"/>
      <c r="T40" s="67"/>
      <c r="U40" s="67"/>
      <c r="V40" s="67"/>
      <c r="W40" s="67" t="str">
        <f>CONCATENATE("&lt;!-- ",U34," fin --&gt;")</f>
        <v>&lt;!--  ARIA Recomendado para &lt;aside&gt; fin --&gt;</v>
      </c>
      <c r="X40" s="82"/>
      <c r="Y40" t="s">
        <v>2</v>
      </c>
    </row>
    <row r="41" ht="14.55" spans="1:23">
      <c r="A41" s="83"/>
      <c r="B41" s="69"/>
      <c r="C41" s="69"/>
      <c r="D41" s="84"/>
      <c r="E41" s="69"/>
      <c r="F41" s="67" t="str">
        <f>""</f>
        <v/>
      </c>
      <c r="I41" s="83"/>
      <c r="J41" s="69"/>
      <c r="K41" s="69"/>
      <c r="L41" s="84"/>
      <c r="M41" s="69"/>
      <c r="N41" s="67" t="str">
        <f>""</f>
        <v/>
      </c>
      <c r="R41" s="83"/>
      <c r="S41" s="69"/>
      <c r="T41" s="69"/>
      <c r="U41" s="84"/>
      <c r="V41" s="69"/>
      <c r="W41" s="67" t="str">
        <f>""</f>
        <v/>
      </c>
    </row>
    <row r="42" spans="1:25">
      <c r="A42" s="68" t="str">
        <f>CONCATENATE("Título ",A44)</f>
        <v>Título 6</v>
      </c>
      <c r="B42" s="69"/>
      <c r="C42" s="69"/>
      <c r="D42" s="85" t="s">
        <v>175</v>
      </c>
      <c r="E42" s="69" t="s">
        <v>2</v>
      </c>
      <c r="F42" s="71" t="str">
        <f>CONCATENATE("&lt;!-- ",CONCATENATE(D42," ",D43)," --&gt;")</f>
        <v>&lt;!-- Buenas Prácticas y Errores Comunes Fragmento en Línea &lt;span&gt; --&gt;</v>
      </c>
      <c r="G42" s="72"/>
      <c r="H42" t="s">
        <v>2</v>
      </c>
      <c r="I42" s="83" t="s">
        <v>191</v>
      </c>
      <c r="J42" s="69"/>
      <c r="K42" s="69"/>
      <c r="L42" s="70"/>
      <c r="M42" s="69" t="s">
        <v>2</v>
      </c>
      <c r="N42" s="69" t="str">
        <f>CONCATENATE("&lt;!-- ",L42," --&gt;")</f>
        <v>&lt;!--  --&gt;</v>
      </c>
      <c r="O42" s="72"/>
      <c r="R42" s="83" t="str">
        <f>I42</f>
        <v>Título 6</v>
      </c>
      <c r="S42" s="69"/>
      <c r="T42" s="69"/>
      <c r="U42" s="70" t="s">
        <v>192</v>
      </c>
      <c r="V42" s="69"/>
      <c r="W42" s="69" t="str">
        <f>CONCATENATE("&lt;!-- ",U42," --&gt;")</f>
        <v>&lt;!-- Mejores Prácticas con ARIA con &lt;time&gt; --&gt;</v>
      </c>
      <c r="X42" s="72"/>
      <c r="Y42" t="s">
        <v>2</v>
      </c>
    </row>
    <row r="43" ht="14.4" spans="1:25">
      <c r="A43" s="73" t="s">
        <v>166</v>
      </c>
      <c r="B43" s="74"/>
      <c r="C43" s="75"/>
      <c r="D43" s="76" t="str">
        <f>D35</f>
        <v>Fragmento en Línea &lt;span&gt;</v>
      </c>
      <c r="F43" t="s">
        <v>90</v>
      </c>
      <c r="G43" s="77"/>
      <c r="H43" t="s">
        <v>2</v>
      </c>
      <c r="I43" s="73" t="s">
        <v>166</v>
      </c>
      <c r="J43" s="74" t="s">
        <v>167</v>
      </c>
      <c r="K43" s="75" t="s">
        <v>168</v>
      </c>
      <c r="N43" t="str">
        <f>CONCATENATE(J43,L43,K43)</f>
        <v>&lt;div &gt;</v>
      </c>
      <c r="O43" s="77"/>
      <c r="R43" s="73" t="s">
        <v>166</v>
      </c>
      <c r="S43" s="74" t="s">
        <v>167</v>
      </c>
      <c r="T43" s="75" t="s">
        <v>168</v>
      </c>
      <c r="W43" t="str">
        <f>CONCATENATE(S43,U43,T43)</f>
        <v>&lt;div &gt;</v>
      </c>
      <c r="X43" s="77"/>
      <c r="Y43" t="s">
        <v>2</v>
      </c>
    </row>
    <row r="44" spans="1:25">
      <c r="A44" s="78">
        <f>A36+1</f>
        <v>6</v>
      </c>
      <c r="D44" s="79" t="str">
        <f>SUBSTITUTE(SUBSTITUTE(SUBSTITUTE(LOWER(CONCATENATE(D42," ",D43))," ","-"),"&lt;",""),"&gt;","")</f>
        <v>buenas-prácticas-y-errores-comunes-fragmento-en-línea-span</v>
      </c>
      <c r="E44" s="79" t="str">
        <f>CONCATENATE("id=",Comillas,D44,Comillas)</f>
        <v>id="buenas-prácticas-y-errores-comunes-fragmento-en-línea-span"</v>
      </c>
      <c r="F44" s="80" t="str">
        <f>CONCATENATE("&lt;h3&gt;",SUBSTITUTE(CONCATENATE(D42," ",D43),"&lt;","&amp;lt;"),"&lt;/h3&gt;")</f>
        <v>&lt;h3&gt;Buenas Prácticas y Errores Comunes Fragmento en Línea &amp;lt;span&gt;&lt;/h3&gt;</v>
      </c>
      <c r="G44" s="77"/>
      <c r="H44" t="s">
        <v>2</v>
      </c>
      <c r="I44" s="73"/>
      <c r="N44" t="str">
        <f>CONCATENATE("&lt;h4&gt;",L42,"&lt;/h4&gt;")</f>
        <v>&lt;h4&gt;&lt;/h4&gt;</v>
      </c>
      <c r="O44" s="77"/>
      <c r="R44" s="73"/>
      <c r="W44" t="str">
        <f>CONCATENATE("&lt;h5&gt;",U42,"&lt;/h5&gt;")</f>
        <v>&lt;h5&gt;Mejores Prácticas con ARIA con &lt;time&gt;&lt;/h5&gt;</v>
      </c>
      <c r="X44" s="77"/>
      <c r="Y44" t="s">
        <v>2</v>
      </c>
    </row>
    <row r="45" spans="1:25">
      <c r="A45" s="73"/>
      <c r="F45" t="str">
        <f>IF(D46&lt;&gt;"","&lt;p&gt;","")</f>
        <v/>
      </c>
      <c r="G45" s="77"/>
      <c r="H45" t="s">
        <v>2</v>
      </c>
      <c r="I45" s="73"/>
      <c r="N45" t="str">
        <f>IF(L46&lt;&gt;"","&lt;p&gt;","")</f>
        <v/>
      </c>
      <c r="O45" s="77"/>
      <c r="R45" s="73"/>
      <c r="W45" t="str">
        <f>IF(U46&lt;&gt;"","&lt;p&gt;","")</f>
        <v/>
      </c>
      <c r="X45" s="77"/>
      <c r="Y45" t="s">
        <v>2</v>
      </c>
    </row>
    <row r="46" spans="1:25">
      <c r="A46" s="73" t="s">
        <v>171</v>
      </c>
      <c r="D46" s="76"/>
      <c r="E46" t="s">
        <v>2</v>
      </c>
      <c r="F46" t="str">
        <f>IF(D46&lt;&gt;"",D46,"")</f>
        <v/>
      </c>
      <c r="G46" s="77"/>
      <c r="H46" t="s">
        <v>2</v>
      </c>
      <c r="I46" s="73" t="s">
        <v>171</v>
      </c>
      <c r="L46" s="76"/>
      <c r="M46" t="s">
        <v>2</v>
      </c>
      <c r="N46" t="str">
        <f>IF(L46&lt;&gt;"",L46,"")</f>
        <v/>
      </c>
      <c r="O46" s="77"/>
      <c r="R46" s="73" t="s">
        <v>171</v>
      </c>
      <c r="U46" s="76"/>
      <c r="V46" t="s">
        <v>2</v>
      </c>
      <c r="W46" t="str">
        <f>IF(U46&lt;&gt;"",U46,"")</f>
        <v/>
      </c>
      <c r="X46" s="77"/>
      <c r="Y46" t="s">
        <v>2</v>
      </c>
    </row>
    <row r="47" spans="1:25">
      <c r="A47" s="73"/>
      <c r="F47" t="s">
        <v>112</v>
      </c>
      <c r="G47" s="77"/>
      <c r="H47" t="s">
        <v>2</v>
      </c>
      <c r="I47" s="73"/>
      <c r="N47" t="s">
        <v>112</v>
      </c>
      <c r="O47" s="77"/>
      <c r="R47" s="73"/>
      <c r="W47" t="s">
        <v>112</v>
      </c>
      <c r="X47" s="77"/>
      <c r="Y47" t="s">
        <v>2</v>
      </c>
    </row>
    <row r="48" ht="14.55" spans="1:25">
      <c r="A48" s="81"/>
      <c r="B48" s="67"/>
      <c r="C48" s="67"/>
      <c r="D48" s="67"/>
      <c r="E48" s="67"/>
      <c r="F48" s="67" t="str">
        <f>CONCATENATE("&lt;!-- ",D42," fin --&gt;")</f>
        <v>&lt;!-- Buenas Prácticas y Errores Comunes fin --&gt;</v>
      </c>
      <c r="G48" s="82"/>
      <c r="H48" t="s">
        <v>2</v>
      </c>
      <c r="I48" s="81"/>
      <c r="J48" s="67"/>
      <c r="K48" s="67"/>
      <c r="L48" s="67"/>
      <c r="M48" s="67"/>
      <c r="N48" s="67" t="str">
        <f>CONCATENATE("&lt;!-- ",L42," fin --&gt;")</f>
        <v>&lt;!--  fin --&gt;</v>
      </c>
      <c r="O48" s="82"/>
      <c r="R48" s="81"/>
      <c r="S48" s="67"/>
      <c r="T48" s="67"/>
      <c r="U48" s="67"/>
      <c r="V48" s="67"/>
      <c r="W48" s="67" t="str">
        <f>CONCATENATE("&lt;!-- ",U42," fin --&gt;")</f>
        <v>&lt;!-- Mejores Prácticas con ARIA con &lt;time&gt; fin --&gt;</v>
      </c>
      <c r="X48" s="82"/>
      <c r="Y48" t="s">
        <v>2</v>
      </c>
    </row>
    <row r="49" ht="14.55" spans="1:23">
      <c r="A49" s="83"/>
      <c r="B49" s="69"/>
      <c r="C49" s="69"/>
      <c r="D49" s="84"/>
      <c r="E49" s="69"/>
      <c r="F49" s="67" t="str">
        <f>""</f>
        <v/>
      </c>
      <c r="I49" s="83"/>
      <c r="J49" s="69"/>
      <c r="K49" s="69"/>
      <c r="L49" s="84"/>
      <c r="M49" s="69"/>
      <c r="N49" s="67" t="str">
        <f>""</f>
        <v/>
      </c>
      <c r="R49" s="83"/>
      <c r="S49" s="69"/>
      <c r="T49" s="69"/>
      <c r="U49" s="84"/>
      <c r="V49" s="69"/>
      <c r="W49" s="67" t="str">
        <f>""</f>
        <v/>
      </c>
    </row>
    <row r="50" spans="1:25">
      <c r="A50" s="68" t="str">
        <f>CONCATENATE("Título ",A52)</f>
        <v>Título 7</v>
      </c>
      <c r="B50" s="69"/>
      <c r="C50" s="69"/>
      <c r="D50" s="85" t="s">
        <v>180</v>
      </c>
      <c r="E50" s="69" t="s">
        <v>2</v>
      </c>
      <c r="F50" s="71" t="str">
        <f>CONCATENATE("&lt;!-- ",CONCATENATE(D50," ",D51)," --&gt;")</f>
        <v>&lt;!-- Configuración CSS por Defecto Fragmento en Línea &lt;span&gt; --&gt;</v>
      </c>
      <c r="G50" s="72"/>
      <c r="H50" t="s">
        <v>2</v>
      </c>
      <c r="I50" s="83" t="str">
        <f>A50</f>
        <v>Título 7</v>
      </c>
      <c r="J50" s="69"/>
      <c r="K50" s="69" t="s">
        <v>193</v>
      </c>
      <c r="L50" s="70"/>
      <c r="M50" s="69" t="s">
        <v>2</v>
      </c>
      <c r="N50" s="69" t="str">
        <f>CONCATENATE("&lt;!-- ",L50," --&gt;")</f>
        <v>&lt;!--  --&gt;</v>
      </c>
      <c r="O50" s="72"/>
      <c r="R50" s="83" t="str">
        <f>I50</f>
        <v>Título 7</v>
      </c>
      <c r="S50" s="69"/>
      <c r="T50" s="69"/>
      <c r="U50" s="70"/>
      <c r="V50" s="69"/>
      <c r="W50" s="69" t="str">
        <f>CONCATENATE("&lt;!-- ",U50," --&gt;")</f>
        <v>&lt;!--  --&gt;</v>
      </c>
      <c r="X50" s="72"/>
      <c r="Y50" t="s">
        <v>2</v>
      </c>
    </row>
    <row r="51" ht="14.4" spans="1:25">
      <c r="A51" s="73" t="s">
        <v>166</v>
      </c>
      <c r="B51" s="74"/>
      <c r="C51" s="75"/>
      <c r="D51" s="76" t="str">
        <f>D43</f>
        <v>Fragmento en Línea &lt;span&gt;</v>
      </c>
      <c r="F51" t="s">
        <v>90</v>
      </c>
      <c r="G51" s="77"/>
      <c r="I51" s="73" t="s">
        <v>166</v>
      </c>
      <c r="J51" s="74" t="s">
        <v>167</v>
      </c>
      <c r="K51" s="75" t="s">
        <v>168</v>
      </c>
      <c r="N51" t="str">
        <f>CONCATENATE(J51,L51,K51)</f>
        <v>&lt;div &gt;</v>
      </c>
      <c r="O51" s="77"/>
      <c r="R51" s="73" t="s">
        <v>166</v>
      </c>
      <c r="S51" s="74" t="s">
        <v>167</v>
      </c>
      <c r="T51" s="75" t="s">
        <v>168</v>
      </c>
      <c r="W51" t="str">
        <f>CONCATENATE(S51,U51,T51)</f>
        <v>&lt;div &gt;</v>
      </c>
      <c r="X51" s="77"/>
      <c r="Y51" t="s">
        <v>2</v>
      </c>
    </row>
    <row r="52" spans="1:25">
      <c r="A52" s="78">
        <f>A44+1</f>
        <v>7</v>
      </c>
      <c r="D52" s="79" t="str">
        <f>SUBSTITUTE(SUBSTITUTE(SUBSTITUTE(LOWER(CONCATENATE(D50," ",D51))," ","-"),"&lt;",""),"&gt;","")</f>
        <v>configuración-css-por-defecto-fragmento-en-línea-span</v>
      </c>
      <c r="E52" s="79" t="str">
        <f>CONCATENATE("id=",Comillas,D52,Comillas)</f>
        <v>id="configuración-css-por-defecto-fragmento-en-línea-span"</v>
      </c>
      <c r="F52" s="80" t="str">
        <f>CONCATENATE("&lt;h3&gt;",SUBSTITUTE(CONCATENATE(D50," ",D51),"&lt;","&amp;lt;"),"&lt;/h3&gt;")</f>
        <v>&lt;h3&gt;Configuración CSS por Defecto Fragmento en Línea &amp;lt;span&gt;&lt;/h3&gt;</v>
      </c>
      <c r="G52" s="77"/>
      <c r="H52" t="s">
        <v>2</v>
      </c>
      <c r="I52" s="73"/>
      <c r="N52" t="str">
        <f>CONCATENATE("&lt;h4&gt;",L50,"&lt;/h4&gt;")</f>
        <v>&lt;h4&gt;&lt;/h4&gt;</v>
      </c>
      <c r="O52" s="77"/>
      <c r="R52" s="73"/>
      <c r="W52" t="str">
        <f>CONCATENATE("&lt;h5&gt;",U50,"&lt;/h5&gt;")</f>
        <v>&lt;h5&gt;&lt;/h5&gt;</v>
      </c>
      <c r="X52" s="77"/>
      <c r="Y52" t="s">
        <v>2</v>
      </c>
    </row>
    <row r="53" spans="1:25">
      <c r="A53" s="73"/>
      <c r="F53" t="str">
        <f>IF(D54&lt;&gt;"","&lt;p&gt;","")</f>
        <v/>
      </c>
      <c r="G53" s="77"/>
      <c r="H53" t="s">
        <v>2</v>
      </c>
      <c r="I53" s="73"/>
      <c r="N53" t="str">
        <f>IF(L54&lt;&gt;"","&lt;p&gt;","")</f>
        <v/>
      </c>
      <c r="O53" s="77"/>
      <c r="R53" s="73"/>
      <c r="W53" t="str">
        <f>IF(U54&lt;&gt;"","&lt;p&gt;","")</f>
        <v/>
      </c>
      <c r="X53" s="77"/>
      <c r="Y53" t="s">
        <v>2</v>
      </c>
    </row>
    <row r="54" spans="1:25">
      <c r="A54" s="73" t="s">
        <v>171</v>
      </c>
      <c r="D54" s="76"/>
      <c r="E54" t="s">
        <v>2</v>
      </c>
      <c r="F54" t="str">
        <f>IF(D54&lt;&gt;"",D54,"")</f>
        <v/>
      </c>
      <c r="G54" s="77"/>
      <c r="H54" t="s">
        <v>2</v>
      </c>
      <c r="I54" s="73" t="s">
        <v>171</v>
      </c>
      <c r="L54" s="87"/>
      <c r="M54" t="s">
        <v>2</v>
      </c>
      <c r="N54" t="str">
        <f>IF(L54&lt;&gt;"",L54,"")</f>
        <v/>
      </c>
      <c r="O54" s="77"/>
      <c r="R54" s="73" t="s">
        <v>171</v>
      </c>
      <c r="U54" s="76"/>
      <c r="V54" t="s">
        <v>2</v>
      </c>
      <c r="W54" t="str">
        <f>IF(U54&lt;&gt;"",U54,"")</f>
        <v/>
      </c>
      <c r="X54" s="77"/>
      <c r="Y54" t="s">
        <v>2</v>
      </c>
    </row>
    <row r="55" spans="1:25">
      <c r="A55" s="73"/>
      <c r="F55" t="s">
        <v>112</v>
      </c>
      <c r="G55" s="77"/>
      <c r="H55" t="s">
        <v>2</v>
      </c>
      <c r="I55" s="73"/>
      <c r="N55" t="s">
        <v>112</v>
      </c>
      <c r="O55" s="77"/>
      <c r="R55" s="73"/>
      <c r="W55" t="s">
        <v>112</v>
      </c>
      <c r="X55" s="77"/>
      <c r="Y55" t="s">
        <v>2</v>
      </c>
    </row>
    <row r="56" ht="14.55" spans="1:25">
      <c r="A56" s="81"/>
      <c r="B56" s="67"/>
      <c r="C56" s="67"/>
      <c r="D56" s="67"/>
      <c r="E56" s="67"/>
      <c r="F56" s="67" t="str">
        <f>CONCATENATE("&lt;!-- ",D50," fin --&gt;")</f>
        <v>&lt;!-- Configuración CSS por Defecto fin --&gt;</v>
      </c>
      <c r="G56" s="82"/>
      <c r="H56" t="s">
        <v>2</v>
      </c>
      <c r="I56" s="81"/>
      <c r="J56" s="67"/>
      <c r="K56" s="67"/>
      <c r="L56" s="67"/>
      <c r="M56" s="67"/>
      <c r="N56" s="67" t="str">
        <f>CONCATENATE("&lt;!-- ",L50," fin --&gt;")</f>
        <v>&lt;!--  fin --&gt;</v>
      </c>
      <c r="O56" s="82"/>
      <c r="R56" s="81"/>
      <c r="S56" s="67"/>
      <c r="T56" s="67"/>
      <c r="U56" s="67"/>
      <c r="V56" s="67"/>
      <c r="W56" s="67" t="str">
        <f>CONCATENATE("&lt;!-- ",U50," fin --&gt;")</f>
        <v>&lt;!--  fin --&gt;</v>
      </c>
      <c r="X56" s="82"/>
      <c r="Y56" t="s">
        <v>2</v>
      </c>
    </row>
    <row r="57" ht="14.55" spans="1:23">
      <c r="A57" s="83"/>
      <c r="B57" s="69"/>
      <c r="C57" s="69"/>
      <c r="D57" s="84"/>
      <c r="E57" s="69"/>
      <c r="F57" s="67" t="str">
        <f>""</f>
        <v/>
      </c>
      <c r="I57" s="83"/>
      <c r="J57" s="69"/>
      <c r="K57" s="69"/>
      <c r="L57" s="84"/>
      <c r="M57" s="69"/>
      <c r="N57" s="67" t="str">
        <f>""</f>
        <v/>
      </c>
      <c r="R57" s="83"/>
      <c r="S57" s="69"/>
      <c r="T57" s="69"/>
      <c r="U57" s="84"/>
      <c r="V57" s="69"/>
      <c r="W57" s="67" t="str">
        <f>""</f>
        <v/>
      </c>
    </row>
    <row r="58" spans="1:25">
      <c r="A58" s="68" t="str">
        <f>CONCATENATE("Título ",A60)</f>
        <v>Título 8</v>
      </c>
      <c r="B58" s="69"/>
      <c r="C58" s="69"/>
      <c r="D58" s="85" t="s">
        <v>181</v>
      </c>
      <c r="E58" s="69" t="s">
        <v>2</v>
      </c>
      <c r="F58" s="71" t="str">
        <f>CONCATENATE("&lt;!-- ",CONCATENATE(D58," ",D59)," --&gt;")</f>
        <v>&lt;!-- Ejemplo Aplicado en un Proyecto Real Fragmento en Línea &lt;span&gt; --&gt;</v>
      </c>
      <c r="G58" s="72"/>
      <c r="H58" t="s">
        <v>2</v>
      </c>
      <c r="I58" s="83" t="str">
        <f>A58</f>
        <v>Título 8</v>
      </c>
      <c r="J58" s="69"/>
      <c r="K58" s="69"/>
      <c r="L58" s="70"/>
      <c r="M58" s="69" t="s">
        <v>2</v>
      </c>
      <c r="N58" s="69" t="str">
        <f>CONCATENATE("&lt;!-- ",L58," --&gt;")</f>
        <v>&lt;!--  --&gt;</v>
      </c>
      <c r="O58" s="72"/>
      <c r="R58" s="83" t="str">
        <f>I58</f>
        <v>Título 8</v>
      </c>
      <c r="S58" s="69"/>
      <c r="T58" s="69"/>
      <c r="U58" s="70"/>
      <c r="V58" s="69"/>
      <c r="W58" s="69" t="str">
        <f>CONCATENATE("&lt;!-- ",U58," --&gt;")</f>
        <v>&lt;!--  --&gt;</v>
      </c>
      <c r="X58" s="72"/>
      <c r="Y58" t="s">
        <v>2</v>
      </c>
    </row>
    <row r="59" ht="14.4" spans="1:25">
      <c r="A59" s="73" t="s">
        <v>166</v>
      </c>
      <c r="B59" s="74"/>
      <c r="C59" s="75"/>
      <c r="D59" s="76" t="str">
        <f>D51</f>
        <v>Fragmento en Línea &lt;span&gt;</v>
      </c>
      <c r="F59" t="s">
        <v>90</v>
      </c>
      <c r="G59" s="77"/>
      <c r="I59" s="73" t="s">
        <v>166</v>
      </c>
      <c r="J59" s="74" t="s">
        <v>167</v>
      </c>
      <c r="K59" s="75" t="s">
        <v>168</v>
      </c>
      <c r="N59" t="str">
        <f>CONCATENATE(J59,L59,K59)</f>
        <v>&lt;div &gt;</v>
      </c>
      <c r="O59" s="77"/>
      <c r="R59" s="73" t="s">
        <v>166</v>
      </c>
      <c r="S59" s="74" t="s">
        <v>167</v>
      </c>
      <c r="T59" s="75" t="s">
        <v>168</v>
      </c>
      <c r="W59" t="str">
        <f>CONCATENATE(S59,U59,T59)</f>
        <v>&lt;div &gt;</v>
      </c>
      <c r="X59" s="77"/>
      <c r="Y59" t="s">
        <v>2</v>
      </c>
    </row>
    <row r="60" spans="1:25">
      <c r="A60" s="78">
        <f>A52+1</f>
        <v>8</v>
      </c>
      <c r="D60" s="79" t="str">
        <f>SUBSTITUTE(SUBSTITUTE(SUBSTITUTE(LOWER(CONCATENATE(D58," ",D59))," ","-"),"&lt;",""),"&gt;","")</f>
        <v>ejemplo-aplicado-en-un-proyecto-real-fragmento-en-línea-span</v>
      </c>
      <c r="E60" s="79" t="str">
        <f>CONCATENATE("id=",Comillas,D60,Comillas)</f>
        <v>id="ejemplo-aplicado-en-un-proyecto-real-fragmento-en-línea-span"</v>
      </c>
      <c r="F60" s="80" t="str">
        <f>CONCATENATE("&lt;h3&gt;",SUBSTITUTE(CONCATENATE(D58," ",D59),"&lt;","&amp;lt;"),"&lt;/h3&gt;")</f>
        <v>&lt;h3&gt;Ejemplo Aplicado en un Proyecto Real Fragmento en Línea &amp;lt;span&gt;&lt;/h3&gt;</v>
      </c>
      <c r="G60" s="77"/>
      <c r="H60" t="s">
        <v>2</v>
      </c>
      <c r="I60" s="73"/>
      <c r="N60" t="str">
        <f>CONCATENATE("&lt;h4&gt;",L58,"&lt;/h4&gt;")</f>
        <v>&lt;h4&gt;&lt;/h4&gt;</v>
      </c>
      <c r="O60" s="77"/>
      <c r="R60" s="73"/>
      <c r="W60" t="str">
        <f>CONCATENATE("&lt;h5&gt;",U58,"&lt;/h5&gt;")</f>
        <v>&lt;h5&gt;&lt;/h5&gt;</v>
      </c>
      <c r="X60" s="77"/>
      <c r="Y60" t="s">
        <v>2</v>
      </c>
    </row>
    <row r="61" spans="1:25">
      <c r="A61" s="73"/>
      <c r="F61" t="str">
        <f>IF(D62&lt;&gt;"","&lt;p&gt;","")</f>
        <v/>
      </c>
      <c r="G61" s="77"/>
      <c r="H61" t="s">
        <v>2</v>
      </c>
      <c r="I61" s="73"/>
      <c r="N61" t="str">
        <f>IF(L62&lt;&gt;"","&lt;p&gt;","")</f>
        <v/>
      </c>
      <c r="O61" s="77"/>
      <c r="R61" s="73"/>
      <c r="W61" t="str">
        <f>IF(U62&lt;&gt;"","&lt;p&gt;","")</f>
        <v/>
      </c>
      <c r="X61" s="77"/>
      <c r="Y61" t="s">
        <v>2</v>
      </c>
    </row>
    <row r="62" spans="1:25">
      <c r="A62" s="73" t="s">
        <v>171</v>
      </c>
      <c r="D62" s="76"/>
      <c r="E62" t="s">
        <v>2</v>
      </c>
      <c r="F62" t="str">
        <f>IF(D62&lt;&gt;"",D62,"")</f>
        <v/>
      </c>
      <c r="G62" s="77"/>
      <c r="H62" t="s">
        <v>2</v>
      </c>
      <c r="I62" s="73" t="s">
        <v>171</v>
      </c>
      <c r="L62" s="76"/>
      <c r="M62" t="s">
        <v>2</v>
      </c>
      <c r="N62" t="str">
        <f>IF(L62&lt;&gt;"",L62,"")</f>
        <v/>
      </c>
      <c r="O62" s="77"/>
      <c r="R62" s="73" t="s">
        <v>171</v>
      </c>
      <c r="U62" s="76"/>
      <c r="V62" t="s">
        <v>2</v>
      </c>
      <c r="W62" t="str">
        <f>IF(U62&lt;&gt;"",U62,"")</f>
        <v/>
      </c>
      <c r="X62" s="77"/>
      <c r="Y62" t="s">
        <v>2</v>
      </c>
    </row>
    <row r="63" spans="1:25">
      <c r="A63" s="73"/>
      <c r="F63" t="s">
        <v>112</v>
      </c>
      <c r="G63" s="77"/>
      <c r="H63" t="s">
        <v>2</v>
      </c>
      <c r="I63" s="73"/>
      <c r="N63" t="s">
        <v>112</v>
      </c>
      <c r="O63" s="77"/>
      <c r="R63" s="73"/>
      <c r="W63" t="s">
        <v>112</v>
      </c>
      <c r="X63" s="77"/>
      <c r="Y63" t="s">
        <v>2</v>
      </c>
    </row>
    <row r="64" ht="14.55" spans="1:25">
      <c r="A64" s="81"/>
      <c r="B64" s="67"/>
      <c r="C64" s="67"/>
      <c r="D64" s="67"/>
      <c r="E64" s="67"/>
      <c r="F64" s="67" t="str">
        <f>CONCATENATE("&lt;!-- ",D58," fin --&gt;")</f>
        <v>&lt;!-- Ejemplo Aplicado en un Proyecto Real fin --&gt;</v>
      </c>
      <c r="G64" s="82"/>
      <c r="H64" t="s">
        <v>2</v>
      </c>
      <c r="I64" s="81"/>
      <c r="J64" s="67"/>
      <c r="K64" s="67"/>
      <c r="L64" s="67"/>
      <c r="M64" s="67"/>
      <c r="N64" s="67" t="str">
        <f>CONCATENATE("&lt;!-- ",L58," fin --&gt;")</f>
        <v>&lt;!--  fin --&gt;</v>
      </c>
      <c r="O64" s="82"/>
      <c r="R64" s="81"/>
      <c r="S64" s="67"/>
      <c r="T64" s="67"/>
      <c r="U64" s="67"/>
      <c r="V64" s="67"/>
      <c r="W64" s="67" t="str">
        <f>CONCATENATE("&lt;!-- ",U58," fin --&gt;")</f>
        <v>&lt;!--  fin --&gt;</v>
      </c>
      <c r="X64" s="82"/>
      <c r="Y64" t="s">
        <v>2</v>
      </c>
    </row>
    <row r="65" ht="14.55" spans="1:23">
      <c r="A65" s="83"/>
      <c r="B65" s="69"/>
      <c r="C65" s="69"/>
      <c r="D65" s="84"/>
      <c r="E65" s="69"/>
      <c r="F65" s="67" t="str">
        <f>""</f>
        <v/>
      </c>
      <c r="I65" s="83"/>
      <c r="J65" s="69"/>
      <c r="K65" s="69"/>
      <c r="L65" s="84"/>
      <c r="M65" s="69"/>
      <c r="N65" s="67" t="str">
        <f>""</f>
        <v/>
      </c>
      <c r="R65" s="83"/>
      <c r="S65" s="69"/>
      <c r="T65" s="69"/>
      <c r="U65" s="84"/>
      <c r="V65" s="69"/>
      <c r="W65" s="67" t="str">
        <f>""</f>
        <v/>
      </c>
    </row>
    <row r="66" spans="1:25">
      <c r="A66" s="68" t="str">
        <f>CONCATENATE("Título ",A68)</f>
        <v>Título 9</v>
      </c>
      <c r="B66" s="69"/>
      <c r="C66" s="69"/>
      <c r="D66" s="85" t="s">
        <v>182</v>
      </c>
      <c r="E66" s="69" t="s">
        <v>2</v>
      </c>
      <c r="F66" s="71" t="str">
        <f>CONCATENATE("&lt;!-- ",CONCATENATE(D66," ",D67)," --&gt;")</f>
        <v>&lt;!-- Uso con Tecnologías de Asistencia (ARIA) Fragmento en Línea &lt;span&gt; --&gt;</v>
      </c>
      <c r="G66" s="72"/>
      <c r="H66" t="s">
        <v>2</v>
      </c>
      <c r="I66" s="83" t="str">
        <f>A66</f>
        <v>Título 9</v>
      </c>
      <c r="J66" s="69"/>
      <c r="K66" s="69"/>
      <c r="L66" s="70"/>
      <c r="M66" s="69" t="s">
        <v>2</v>
      </c>
      <c r="N66" s="69" t="str">
        <f>CONCATENATE("&lt;!-- ",L66," --&gt;")</f>
        <v>&lt;!--  --&gt;</v>
      </c>
      <c r="O66" s="72"/>
      <c r="R66" s="83" t="str">
        <f>I66</f>
        <v>Título 9</v>
      </c>
      <c r="S66" s="69"/>
      <c r="T66" s="69"/>
      <c r="U66" s="70"/>
      <c r="V66" s="69"/>
      <c r="W66" s="69" t="str">
        <f>CONCATENATE("&lt;!-- ",U66," --&gt;")</f>
        <v>&lt;!--  --&gt;</v>
      </c>
      <c r="X66" s="72"/>
      <c r="Y66" t="s">
        <v>2</v>
      </c>
    </row>
    <row r="67" ht="14.4" spans="1:25">
      <c r="A67" s="73" t="s">
        <v>166</v>
      </c>
      <c r="B67" s="74"/>
      <c r="C67" s="75"/>
      <c r="D67" s="76" t="str">
        <f>D59</f>
        <v>Fragmento en Línea &lt;span&gt;</v>
      </c>
      <c r="F67" t="s">
        <v>90</v>
      </c>
      <c r="G67" s="77"/>
      <c r="I67" s="73" t="s">
        <v>166</v>
      </c>
      <c r="J67" s="74" t="s">
        <v>167</v>
      </c>
      <c r="K67" s="75" t="s">
        <v>168</v>
      </c>
      <c r="N67" t="str">
        <f>CONCATENATE(J67,L67,K67)</f>
        <v>&lt;div &gt;</v>
      </c>
      <c r="O67" s="77"/>
      <c r="R67" s="73" t="s">
        <v>166</v>
      </c>
      <c r="S67" s="74" t="s">
        <v>167</v>
      </c>
      <c r="T67" s="75" t="s">
        <v>168</v>
      </c>
      <c r="W67" t="str">
        <f>CONCATENATE(S67,U67,T67)</f>
        <v>&lt;div &gt;</v>
      </c>
      <c r="X67" s="77"/>
      <c r="Y67" t="s">
        <v>2</v>
      </c>
    </row>
    <row r="68" spans="1:25">
      <c r="A68" s="78">
        <f>A60+1</f>
        <v>9</v>
      </c>
      <c r="D68" s="79" t="str">
        <f>SUBSTITUTE(SUBSTITUTE(SUBSTITUTE(LOWER(CONCATENATE(D66," ",D67))," ","-"),"&lt;",""),"&gt;","")</f>
        <v>uso-con-tecnologías-de-asistencia-(aria)-fragmento-en-línea-span</v>
      </c>
      <c r="E68" s="79" t="str">
        <f>CONCATENATE("id=",Comillas,D68,Comillas)</f>
        <v>id="uso-con-tecnologías-de-asistencia-(aria)-fragmento-en-línea-span"</v>
      </c>
      <c r="F68" s="80" t="str">
        <f>CONCATENATE("&lt;h3&gt;",SUBSTITUTE(CONCATENATE(D66," ",D67),"&lt;","&amp;lt;"),"&lt;/h3&gt;")</f>
        <v>&lt;h3&gt;Uso con Tecnologías de Asistencia (ARIA) Fragmento en Línea &amp;lt;span&gt;&lt;/h3&gt;</v>
      </c>
      <c r="G68" s="77"/>
      <c r="H68" t="s">
        <v>2</v>
      </c>
      <c r="I68" s="73"/>
      <c r="N68" t="str">
        <f>CONCATENATE("&lt;h4&gt;",L66,"&lt;/h4&gt;")</f>
        <v>&lt;h4&gt;&lt;/h4&gt;</v>
      </c>
      <c r="O68" s="77"/>
      <c r="R68" s="73"/>
      <c r="W68" t="str">
        <f>CONCATENATE("&lt;h5&gt;",U66,"&lt;/h5&gt;")</f>
        <v>&lt;h5&gt;&lt;/h5&gt;</v>
      </c>
      <c r="X68" s="77"/>
      <c r="Y68" t="s">
        <v>2</v>
      </c>
    </row>
    <row r="69" spans="1:25">
      <c r="A69" s="73"/>
      <c r="F69" t="str">
        <f>IF(D70&lt;&gt;"","&lt;p&gt;","")</f>
        <v/>
      </c>
      <c r="G69" s="77"/>
      <c r="H69" t="s">
        <v>2</v>
      </c>
      <c r="I69" s="73"/>
      <c r="N69" t="str">
        <f>IF(L70&lt;&gt;"","&lt;p&gt;","")</f>
        <v/>
      </c>
      <c r="O69" s="77"/>
      <c r="R69" s="73"/>
      <c r="W69" t="str">
        <f>IF(U70&lt;&gt;"","&lt;p&gt;","")</f>
        <v/>
      </c>
      <c r="X69" s="77"/>
      <c r="Y69" t="s">
        <v>2</v>
      </c>
    </row>
    <row r="70" spans="1:25">
      <c r="A70" s="73" t="s">
        <v>171</v>
      </c>
      <c r="D70" s="76"/>
      <c r="E70" t="s">
        <v>2</v>
      </c>
      <c r="F70" t="str">
        <f>IF(D70&lt;&gt;"",D70,"")</f>
        <v/>
      </c>
      <c r="G70" s="77"/>
      <c r="H70" t="s">
        <v>2</v>
      </c>
      <c r="I70" s="73" t="s">
        <v>171</v>
      </c>
      <c r="L70" s="76"/>
      <c r="M70" t="s">
        <v>2</v>
      </c>
      <c r="N70" t="str">
        <f>IF(L70&lt;&gt;"",L70,"")</f>
        <v/>
      </c>
      <c r="O70" s="77"/>
      <c r="R70" s="73" t="s">
        <v>171</v>
      </c>
      <c r="U70" s="76"/>
      <c r="V70" t="s">
        <v>2</v>
      </c>
      <c r="W70" t="str">
        <f>IF(U70&lt;&gt;"",U70,"")</f>
        <v/>
      </c>
      <c r="X70" s="77"/>
      <c r="Y70" t="s">
        <v>2</v>
      </c>
    </row>
    <row r="71" spans="1:25">
      <c r="A71" s="73"/>
      <c r="F71" t="s">
        <v>112</v>
      </c>
      <c r="G71" s="77"/>
      <c r="H71" t="s">
        <v>2</v>
      </c>
      <c r="I71" s="73"/>
      <c r="N71" t="s">
        <v>112</v>
      </c>
      <c r="O71" s="77"/>
      <c r="R71" s="73"/>
      <c r="W71" t="s">
        <v>112</v>
      </c>
      <c r="X71" s="77"/>
      <c r="Y71" t="s">
        <v>2</v>
      </c>
    </row>
    <row r="72" ht="14.55" spans="1:25">
      <c r="A72" s="81"/>
      <c r="B72" s="67"/>
      <c r="C72" s="67"/>
      <c r="D72" s="67"/>
      <c r="E72" s="67"/>
      <c r="F72" s="67" t="str">
        <f>CONCATENATE("&lt;!-- ",D66," fin --&gt;")</f>
        <v>&lt;!-- Uso con Tecnologías de Asistencia (ARIA) fin --&gt;</v>
      </c>
      <c r="G72" s="82"/>
      <c r="H72" t="s">
        <v>2</v>
      </c>
      <c r="I72" s="81"/>
      <c r="J72" s="67"/>
      <c r="K72" s="67"/>
      <c r="L72" s="67"/>
      <c r="M72" s="67"/>
      <c r="N72" s="67" t="str">
        <f>CONCATENATE("&lt;!-- ",L66," fin --&gt;")</f>
        <v>&lt;!--  fin --&gt;</v>
      </c>
      <c r="O72" s="82"/>
      <c r="R72" s="81"/>
      <c r="S72" s="67"/>
      <c r="T72" s="67"/>
      <c r="U72" s="67"/>
      <c r="V72" s="67"/>
      <c r="W72" s="67" t="str">
        <f>CONCATENATE("&lt;!-- ",U66," fin --&gt;")</f>
        <v>&lt;!--  fin --&gt;</v>
      </c>
      <c r="X72" s="82"/>
      <c r="Y72" t="s">
        <v>2</v>
      </c>
    </row>
    <row r="73" ht="14.55" spans="1:23">
      <c r="A73" s="83"/>
      <c r="B73" s="69"/>
      <c r="C73" s="69"/>
      <c r="D73" s="84"/>
      <c r="E73" s="69"/>
      <c r="F73" s="67" t="str">
        <f>""</f>
        <v/>
      </c>
      <c r="I73" s="83"/>
      <c r="J73" s="69"/>
      <c r="K73" s="69"/>
      <c r="L73" s="84"/>
      <c r="M73" s="69"/>
      <c r="N73" s="67" t="str">
        <f>""</f>
        <v/>
      </c>
      <c r="R73" s="83"/>
      <c r="S73" s="69"/>
      <c r="T73" s="69"/>
      <c r="U73" s="84"/>
      <c r="V73" s="69"/>
      <c r="W73" s="67" t="str">
        <f>""</f>
        <v/>
      </c>
    </row>
    <row r="74" spans="1:25">
      <c r="A74" s="83" t="s">
        <v>194</v>
      </c>
      <c r="B74" s="69"/>
      <c r="C74" s="69"/>
      <c r="D74" s="70"/>
      <c r="E74" s="69" t="s">
        <v>2</v>
      </c>
      <c r="F74" s="69" t="str">
        <f>CONCATENATE("&lt;!-- ",D74," --&gt;")</f>
        <v>&lt;!--  --&gt;</v>
      </c>
      <c r="G74" s="72"/>
      <c r="H74" t="s">
        <v>2</v>
      </c>
      <c r="I74" s="83" t="str">
        <f>A74</f>
        <v>Título 10</v>
      </c>
      <c r="J74" s="69"/>
      <c r="K74" s="69"/>
      <c r="L74" s="70"/>
      <c r="M74" s="69"/>
      <c r="N74" s="69" t="str">
        <f>CONCATENATE("&lt;!-- ",L74," --&gt;")</f>
        <v>&lt;!--  --&gt;</v>
      </c>
      <c r="O74" s="72"/>
      <c r="R74" s="83" t="str">
        <f>I74</f>
        <v>Título 10</v>
      </c>
      <c r="S74" s="69"/>
      <c r="T74" s="69"/>
      <c r="U74" s="70"/>
      <c r="V74" s="69"/>
      <c r="W74" s="69" t="str">
        <f>CONCATENATE("&lt;!-- ",U74," --&gt;")</f>
        <v>&lt;!--  --&gt;</v>
      </c>
      <c r="X74" s="72"/>
      <c r="Y74" t="s">
        <v>2</v>
      </c>
    </row>
    <row r="75" ht="14.4" spans="1:25">
      <c r="A75" s="73" t="s">
        <v>166</v>
      </c>
      <c r="B75" s="74" t="s">
        <v>167</v>
      </c>
      <c r="C75" s="75" t="s">
        <v>168</v>
      </c>
      <c r="F75" t="s">
        <v>90</v>
      </c>
      <c r="G75" s="77"/>
      <c r="I75" s="73" t="s">
        <v>166</v>
      </c>
      <c r="J75" s="74" t="s">
        <v>167</v>
      </c>
      <c r="K75" s="75" t="s">
        <v>168</v>
      </c>
      <c r="N75" t="str">
        <f>CONCATENATE(J75,L75,K75)</f>
        <v>&lt;div &gt;</v>
      </c>
      <c r="O75" s="77"/>
      <c r="R75" s="73" t="s">
        <v>166</v>
      </c>
      <c r="S75" s="74" t="s">
        <v>167</v>
      </c>
      <c r="T75" s="75" t="s">
        <v>168</v>
      </c>
      <c r="W75" t="str">
        <f>CONCATENATE(S75,U75,T75)</f>
        <v>&lt;div &gt;</v>
      </c>
      <c r="X75" s="77"/>
      <c r="Y75" t="s">
        <v>2</v>
      </c>
    </row>
    <row r="76" spans="1:25">
      <c r="A76" s="73"/>
      <c r="D76" s="76"/>
      <c r="E76" t="str">
        <f>CONCATENATE("id=",Comillas,D76,Comillas)</f>
        <v>id=""</v>
      </c>
      <c r="F76" t="str">
        <f>CONCATENATE("&lt;h3 ",E76,"&gt;",D74,"&lt;/h3&gt;")</f>
        <v>&lt;h3 id=""&gt;&lt;/h3&gt;</v>
      </c>
      <c r="G76" s="77"/>
      <c r="H76" t="s">
        <v>2</v>
      </c>
      <c r="I76" s="73"/>
      <c r="N76" t="str">
        <f>CONCATENATE("&lt;h4&gt;",L74,"&lt;/h4&gt;")</f>
        <v>&lt;h4&gt;&lt;/h4&gt;</v>
      </c>
      <c r="O76" s="77"/>
      <c r="R76" s="73"/>
      <c r="W76" t="str">
        <f>CONCATENATE("&lt;h5&gt;",U74,"&lt;/h5&gt;")</f>
        <v>&lt;h5&gt;&lt;/h5&gt;</v>
      </c>
      <c r="X76" s="77"/>
      <c r="Y76" t="s">
        <v>2</v>
      </c>
    </row>
    <row r="77" spans="1:25">
      <c r="A77" s="73"/>
      <c r="F77" t="str">
        <f>IF(D78&lt;&gt;"","&lt;p&gt;","")</f>
        <v/>
      </c>
      <c r="G77" s="77"/>
      <c r="H77" t="s">
        <v>2</v>
      </c>
      <c r="I77" s="73"/>
      <c r="N77" t="str">
        <f>IF(L78&lt;&gt;"","&lt;p&gt;","")</f>
        <v/>
      </c>
      <c r="O77" s="77"/>
      <c r="R77" s="73"/>
      <c r="W77" t="str">
        <f>IF(U78&lt;&gt;"","&lt;p&gt;","")</f>
        <v/>
      </c>
      <c r="X77" s="77"/>
      <c r="Y77" t="s">
        <v>2</v>
      </c>
    </row>
    <row r="78" spans="1:25">
      <c r="A78" s="73" t="s">
        <v>171</v>
      </c>
      <c r="D78" s="76"/>
      <c r="E78" t="s">
        <v>2</v>
      </c>
      <c r="F78" t="str">
        <f>IF(D78&lt;&gt;"",D78,"")</f>
        <v/>
      </c>
      <c r="G78" s="77"/>
      <c r="H78" t="s">
        <v>2</v>
      </c>
      <c r="I78" s="73" t="s">
        <v>171</v>
      </c>
      <c r="L78" s="76"/>
      <c r="M78" t="s">
        <v>2</v>
      </c>
      <c r="N78" t="str">
        <f>IF(L78&lt;&gt;"",L78,"")</f>
        <v/>
      </c>
      <c r="O78" s="77"/>
      <c r="R78" s="73" t="s">
        <v>171</v>
      </c>
      <c r="U78" s="76"/>
      <c r="V78" t="s">
        <v>2</v>
      </c>
      <c r="W78" t="str">
        <f>IF(U78&lt;&gt;"",U78,"")</f>
        <v/>
      </c>
      <c r="X78" s="77"/>
      <c r="Y78" t="s">
        <v>2</v>
      </c>
    </row>
    <row r="79" spans="1:25">
      <c r="A79" s="73"/>
      <c r="F79" t="s">
        <v>112</v>
      </c>
      <c r="G79" s="77"/>
      <c r="H79" t="s">
        <v>2</v>
      </c>
      <c r="I79" s="73"/>
      <c r="N79" t="s">
        <v>112</v>
      </c>
      <c r="O79" s="77"/>
      <c r="R79" s="73"/>
      <c r="W79" t="s">
        <v>112</v>
      </c>
      <c r="X79" s="77"/>
      <c r="Y79" t="s">
        <v>2</v>
      </c>
    </row>
    <row r="80" ht="14.55" spans="1:25">
      <c r="A80" s="81"/>
      <c r="B80" s="67"/>
      <c r="C80" s="67"/>
      <c r="D80" s="67"/>
      <c r="E80" s="67"/>
      <c r="F80" s="67" t="str">
        <f>CONCATENATE("&lt;!-- ",D74," fin --&gt;")</f>
        <v>&lt;!--  fin --&gt;</v>
      </c>
      <c r="G80" s="82"/>
      <c r="H80" t="s">
        <v>2</v>
      </c>
      <c r="I80" s="81"/>
      <c r="J80" s="67"/>
      <c r="K80" s="67"/>
      <c r="L80" s="67"/>
      <c r="M80" s="67"/>
      <c r="N80" s="67" t="str">
        <f>CONCATENATE("&lt;!-- ",L74," fin --&gt;")</f>
        <v>&lt;!--  fin --&gt;</v>
      </c>
      <c r="O80" s="82"/>
      <c r="R80" s="81"/>
      <c r="S80" s="67"/>
      <c r="T80" s="67"/>
      <c r="U80" s="67"/>
      <c r="V80" s="67"/>
      <c r="W80" s="67" t="str">
        <f>CONCATENATE("&lt;!-- ",U74," fin --&gt;")</f>
        <v>&lt;!--  fin --&gt;</v>
      </c>
      <c r="X80" s="82"/>
      <c r="Y80" t="s">
        <v>2</v>
      </c>
    </row>
    <row r="81" ht="14.55" spans="1:23">
      <c r="A81" s="83"/>
      <c r="B81" s="69"/>
      <c r="C81" s="69"/>
      <c r="D81" s="84"/>
      <c r="E81" s="69"/>
      <c r="F81" s="67" t="str">
        <f>""</f>
        <v/>
      </c>
      <c r="I81" s="83"/>
      <c r="J81" s="69"/>
      <c r="K81" s="69"/>
      <c r="L81" s="84"/>
      <c r="M81" s="69"/>
      <c r="N81" s="67" t="str">
        <f>""</f>
        <v/>
      </c>
      <c r="R81" s="83"/>
      <c r="S81" s="69"/>
      <c r="T81" s="69"/>
      <c r="U81" s="84"/>
      <c r="V81" s="69"/>
      <c r="W81" s="67" t="str">
        <f>""</f>
        <v/>
      </c>
    </row>
    <row r="82" spans="1:25">
      <c r="A82" s="83" t="s">
        <v>195</v>
      </c>
      <c r="B82" s="69"/>
      <c r="C82" s="69"/>
      <c r="D82" s="70"/>
      <c r="E82" s="69" t="s">
        <v>2</v>
      </c>
      <c r="F82" s="69" t="str">
        <f>CONCATENATE("&lt;!-- ",D82," --&gt;")</f>
        <v>&lt;!--  --&gt;</v>
      </c>
      <c r="G82" s="72"/>
      <c r="H82" t="s">
        <v>2</v>
      </c>
      <c r="I82" s="83" t="str">
        <f>A82</f>
        <v>Título 11</v>
      </c>
      <c r="J82" s="69"/>
      <c r="K82" s="69"/>
      <c r="L82" s="70"/>
      <c r="M82" s="69"/>
      <c r="N82" s="69" t="str">
        <f>CONCATENATE("&lt;!-- ",L82," --&gt;")</f>
        <v>&lt;!--  --&gt;</v>
      </c>
      <c r="O82" s="72"/>
      <c r="R82" s="83" t="str">
        <f>I82</f>
        <v>Título 11</v>
      </c>
      <c r="S82" s="69"/>
      <c r="T82" s="69"/>
      <c r="U82" s="70"/>
      <c r="V82" s="69"/>
      <c r="W82" s="69" t="str">
        <f>CONCATENATE("&lt;!-- ",U82," --&gt;")</f>
        <v>&lt;!--  --&gt;</v>
      </c>
      <c r="X82" s="72"/>
      <c r="Y82" t="s">
        <v>2</v>
      </c>
    </row>
    <row r="83" ht="14.4" spans="1:25">
      <c r="A83" s="73" t="s">
        <v>166</v>
      </c>
      <c r="B83" s="74" t="s">
        <v>167</v>
      </c>
      <c r="C83" s="75" t="s">
        <v>168</v>
      </c>
      <c r="F83" t="s">
        <v>90</v>
      </c>
      <c r="G83" s="77"/>
      <c r="I83" s="73" t="s">
        <v>166</v>
      </c>
      <c r="J83" s="74" t="s">
        <v>167</v>
      </c>
      <c r="K83" s="75" t="s">
        <v>168</v>
      </c>
      <c r="N83" t="str">
        <f>CONCATENATE(J83,L83,K83)</f>
        <v>&lt;div &gt;</v>
      </c>
      <c r="O83" s="77"/>
      <c r="R83" s="73" t="s">
        <v>166</v>
      </c>
      <c r="S83" s="74" t="s">
        <v>167</v>
      </c>
      <c r="T83" s="75" t="s">
        <v>168</v>
      </c>
      <c r="W83" t="str">
        <f>CONCATENATE(S83,U83,T83)</f>
        <v>&lt;div &gt;</v>
      </c>
      <c r="X83" s="77"/>
      <c r="Y83" t="s">
        <v>2</v>
      </c>
    </row>
    <row r="84" spans="1:25">
      <c r="A84" s="73"/>
      <c r="D84" s="76"/>
      <c r="E84" t="str">
        <f>CONCATENATE("id=",Comillas,D84,Comillas)</f>
        <v>id=""</v>
      </c>
      <c r="F84" t="str">
        <f>CONCATENATE("&lt;h3 ",E84,"&gt;",D82,"&lt;/h3&gt;")</f>
        <v>&lt;h3 id=""&gt;&lt;/h3&gt;</v>
      </c>
      <c r="G84" s="77"/>
      <c r="H84" t="s">
        <v>2</v>
      </c>
      <c r="I84" s="73"/>
      <c r="N84" t="str">
        <f>CONCATENATE("&lt;h4&gt;",L82,"&lt;/h4&gt;")</f>
        <v>&lt;h4&gt;&lt;/h4&gt;</v>
      </c>
      <c r="O84" s="77"/>
      <c r="R84" s="73"/>
      <c r="W84" t="str">
        <f>CONCATENATE("&lt;h5&gt;",U82,"&lt;/h5&gt;")</f>
        <v>&lt;h5&gt;&lt;/h5&gt;</v>
      </c>
      <c r="X84" s="77"/>
      <c r="Y84" t="s">
        <v>2</v>
      </c>
    </row>
    <row r="85" spans="1:25">
      <c r="A85" s="73"/>
      <c r="F85" t="str">
        <f>IF(D86&lt;&gt;"","&lt;p&gt;","")</f>
        <v/>
      </c>
      <c r="G85" s="77"/>
      <c r="H85" t="s">
        <v>2</v>
      </c>
      <c r="I85" s="73"/>
      <c r="N85" t="str">
        <f>IF(L86&lt;&gt;"","&lt;p&gt;","")</f>
        <v/>
      </c>
      <c r="O85" s="77"/>
      <c r="R85" s="73"/>
      <c r="W85" t="str">
        <f>IF(U86&lt;&gt;"","&lt;p&gt;","")</f>
        <v/>
      </c>
      <c r="X85" s="77"/>
      <c r="Y85" t="s">
        <v>2</v>
      </c>
    </row>
    <row r="86" spans="1:25">
      <c r="A86" s="73" t="s">
        <v>171</v>
      </c>
      <c r="D86" s="76"/>
      <c r="E86" t="s">
        <v>2</v>
      </c>
      <c r="F86" t="str">
        <f>IF(D86&lt;&gt;"",D86,"")</f>
        <v/>
      </c>
      <c r="G86" s="77"/>
      <c r="H86" t="s">
        <v>2</v>
      </c>
      <c r="I86" s="73" t="s">
        <v>171</v>
      </c>
      <c r="L86" s="76"/>
      <c r="M86" t="s">
        <v>2</v>
      </c>
      <c r="N86" t="str">
        <f>IF(L86&lt;&gt;"",L86,"")</f>
        <v/>
      </c>
      <c r="O86" s="77"/>
      <c r="R86" s="73" t="s">
        <v>171</v>
      </c>
      <c r="U86" s="76"/>
      <c r="V86" t="s">
        <v>2</v>
      </c>
      <c r="W86" t="str">
        <f>IF(U86&lt;&gt;"",U86,"")</f>
        <v/>
      </c>
      <c r="X86" s="77"/>
      <c r="Y86" t="s">
        <v>2</v>
      </c>
    </row>
    <row r="87" spans="1:25">
      <c r="A87" s="73"/>
      <c r="F87" t="s">
        <v>112</v>
      </c>
      <c r="G87" s="77"/>
      <c r="H87" t="s">
        <v>2</v>
      </c>
      <c r="I87" s="73"/>
      <c r="N87" t="s">
        <v>112</v>
      </c>
      <c r="O87" s="77"/>
      <c r="R87" s="73"/>
      <c r="W87" t="s">
        <v>112</v>
      </c>
      <c r="X87" s="77"/>
      <c r="Y87" t="s">
        <v>2</v>
      </c>
    </row>
    <row r="88" ht="14.55" spans="1:25">
      <c r="A88" s="81"/>
      <c r="B88" s="67"/>
      <c r="C88" s="67"/>
      <c r="D88" s="67"/>
      <c r="E88" s="67"/>
      <c r="F88" s="67" t="str">
        <f>CONCATENATE("&lt;!-- ",D82," fin --&gt;")</f>
        <v>&lt;!--  fin --&gt;</v>
      </c>
      <c r="G88" s="82"/>
      <c r="H88" t="s">
        <v>2</v>
      </c>
      <c r="I88" s="81"/>
      <c r="J88" s="67"/>
      <c r="K88" s="67"/>
      <c r="L88" s="67"/>
      <c r="M88" s="67"/>
      <c r="N88" s="67" t="str">
        <f>CONCATENATE("&lt;!-- ",L82," fin --&gt;")</f>
        <v>&lt;!--  fin --&gt;</v>
      </c>
      <c r="O88" s="82"/>
      <c r="R88" s="81"/>
      <c r="S88" s="67"/>
      <c r="T88" s="67"/>
      <c r="U88" s="67"/>
      <c r="V88" s="67"/>
      <c r="W88" s="67" t="str">
        <f>CONCATENATE("&lt;!-- ",U82," fin --&gt;")</f>
        <v>&lt;!--  fin --&gt;</v>
      </c>
      <c r="X88" s="82"/>
      <c r="Y88" t="s">
        <v>2</v>
      </c>
    </row>
    <row r="89" ht="14.55" spans="1:23">
      <c r="A89" s="83"/>
      <c r="B89" s="69"/>
      <c r="C89" s="69"/>
      <c r="D89" s="84"/>
      <c r="E89" s="69"/>
      <c r="F89" s="67" t="str">
        <f>""</f>
        <v/>
      </c>
      <c r="I89" s="83"/>
      <c r="J89" s="69"/>
      <c r="K89" s="69"/>
      <c r="L89" s="84"/>
      <c r="M89" s="69"/>
      <c r="N89" s="67" t="str">
        <f>""</f>
        <v/>
      </c>
      <c r="R89" s="83"/>
      <c r="S89" s="69"/>
      <c r="T89" s="69"/>
      <c r="U89" s="84"/>
      <c r="V89" s="69"/>
      <c r="W89" s="67" t="str">
        <f>""</f>
        <v/>
      </c>
    </row>
    <row r="90" spans="1:25">
      <c r="A90" s="83" t="s">
        <v>195</v>
      </c>
      <c r="B90" s="69"/>
      <c r="C90" s="69"/>
      <c r="D90" s="70"/>
      <c r="E90" s="69" t="s">
        <v>2</v>
      </c>
      <c r="F90" s="69" t="str">
        <f>CONCATENATE("&lt;!-- ",D90," --&gt;")</f>
        <v>&lt;!--  --&gt;</v>
      </c>
      <c r="G90" s="72"/>
      <c r="H90" t="s">
        <v>2</v>
      </c>
      <c r="I90" s="83" t="s">
        <v>195</v>
      </c>
      <c r="J90" s="69"/>
      <c r="K90" s="69"/>
      <c r="L90" s="70"/>
      <c r="M90" s="69"/>
      <c r="N90" s="69" t="str">
        <f>CONCATENATE("&lt;!-- ",L90," --&gt;")</f>
        <v>&lt;!--  --&gt;</v>
      </c>
      <c r="O90" s="72"/>
      <c r="R90" s="83" t="str">
        <f>I90</f>
        <v>Título 11</v>
      </c>
      <c r="S90" s="69"/>
      <c r="T90" s="69"/>
      <c r="U90" s="70"/>
      <c r="V90" s="69"/>
      <c r="W90" s="69" t="str">
        <f>CONCATENATE("&lt;!-- ",U90," --&gt;")</f>
        <v>&lt;!--  --&gt;</v>
      </c>
      <c r="X90" s="72"/>
      <c r="Y90" t="s">
        <v>2</v>
      </c>
    </row>
    <row r="91" ht="14.4" spans="1:25">
      <c r="A91" s="73" t="s">
        <v>166</v>
      </c>
      <c r="B91" s="74" t="s">
        <v>167</v>
      </c>
      <c r="C91" s="75" t="s">
        <v>168</v>
      </c>
      <c r="F91" t="s">
        <v>90</v>
      </c>
      <c r="G91" s="77"/>
      <c r="I91" s="73" t="s">
        <v>166</v>
      </c>
      <c r="J91" s="74" t="s">
        <v>167</v>
      </c>
      <c r="K91" s="75" t="s">
        <v>168</v>
      </c>
      <c r="N91" t="str">
        <f>CONCATENATE(J91,L91,K91)</f>
        <v>&lt;div &gt;</v>
      </c>
      <c r="O91" s="77"/>
      <c r="R91" s="73" t="s">
        <v>166</v>
      </c>
      <c r="S91" s="74" t="s">
        <v>167</v>
      </c>
      <c r="T91" s="75" t="s">
        <v>168</v>
      </c>
      <c r="W91" t="str">
        <f>CONCATENATE(S91,U91,T91)</f>
        <v>&lt;div &gt;</v>
      </c>
      <c r="X91" s="77"/>
      <c r="Y91" t="s">
        <v>2</v>
      </c>
    </row>
    <row r="92" spans="1:25">
      <c r="A92" s="73"/>
      <c r="D92" s="76"/>
      <c r="E92" t="str">
        <f>CONCATENATE("id=",Comillas,D92,Comillas)</f>
        <v>id=""</v>
      </c>
      <c r="F92" t="str">
        <f>CONCATENATE("&lt;h3 ",E92,"&gt;",D90,"&lt;/h3&gt;")</f>
        <v>&lt;h3 id=""&gt;&lt;/h3&gt;</v>
      </c>
      <c r="G92" s="77"/>
      <c r="H92" t="s">
        <v>2</v>
      </c>
      <c r="I92" s="73"/>
      <c r="N92" t="str">
        <f>CONCATENATE("&lt;h4&gt;",L90,"&lt;/h4&gt;")</f>
        <v>&lt;h4&gt;&lt;/h4&gt;</v>
      </c>
      <c r="O92" s="77"/>
      <c r="R92" s="73"/>
      <c r="W92" t="str">
        <f>CONCATENATE("&lt;h5&gt;",U90,"&lt;/h5&gt;")</f>
        <v>&lt;h5&gt;&lt;/h5&gt;</v>
      </c>
      <c r="X92" s="77"/>
      <c r="Y92" t="s">
        <v>2</v>
      </c>
    </row>
    <row r="93" spans="1:25">
      <c r="A93" s="73"/>
      <c r="F93" t="str">
        <f>IF(D94&lt;&gt;"","&lt;p&gt;","")</f>
        <v/>
      </c>
      <c r="G93" s="77"/>
      <c r="H93" t="s">
        <v>2</v>
      </c>
      <c r="I93" s="73"/>
      <c r="N93" t="str">
        <f>IF(L94&lt;&gt;"","&lt;p&gt;","")</f>
        <v/>
      </c>
      <c r="O93" s="77"/>
      <c r="R93" s="73"/>
      <c r="W93" t="str">
        <f>IF(U94&lt;&gt;"","&lt;p&gt;","")</f>
        <v/>
      </c>
      <c r="X93" s="77"/>
      <c r="Y93" t="s">
        <v>2</v>
      </c>
    </row>
    <row r="94" spans="1:25">
      <c r="A94" s="73" t="s">
        <v>171</v>
      </c>
      <c r="D94" s="76"/>
      <c r="E94" t="s">
        <v>2</v>
      </c>
      <c r="F94" t="str">
        <f>IF(D94&lt;&gt;"",D94,"")</f>
        <v/>
      </c>
      <c r="G94" s="77"/>
      <c r="H94" t="s">
        <v>2</v>
      </c>
      <c r="I94" s="73" t="s">
        <v>171</v>
      </c>
      <c r="L94" s="76"/>
      <c r="M94" t="s">
        <v>2</v>
      </c>
      <c r="N94" t="str">
        <f>IF(L94&lt;&gt;"",L94,"")</f>
        <v/>
      </c>
      <c r="O94" s="77"/>
      <c r="R94" s="73" t="s">
        <v>171</v>
      </c>
      <c r="U94" s="76"/>
      <c r="V94" t="s">
        <v>2</v>
      </c>
      <c r="W94" t="str">
        <f>IF(U94&lt;&gt;"",U94,"")</f>
        <v/>
      </c>
      <c r="X94" s="77"/>
      <c r="Y94" t="s">
        <v>2</v>
      </c>
    </row>
    <row r="95" spans="1:25">
      <c r="A95" s="73"/>
      <c r="F95" t="s">
        <v>112</v>
      </c>
      <c r="G95" s="77"/>
      <c r="H95" t="s">
        <v>2</v>
      </c>
      <c r="I95" s="73"/>
      <c r="N95" t="s">
        <v>112</v>
      </c>
      <c r="O95" s="77"/>
      <c r="R95" s="73"/>
      <c r="W95" t="s">
        <v>112</v>
      </c>
      <c r="X95" s="77"/>
      <c r="Y95" t="s">
        <v>2</v>
      </c>
    </row>
    <row r="96" ht="14.55" spans="1:25">
      <c r="A96" s="81"/>
      <c r="B96" s="67"/>
      <c r="C96" s="67"/>
      <c r="D96" s="67"/>
      <c r="E96" s="67"/>
      <c r="F96" s="67" t="str">
        <f>CONCATENATE("&lt;!-- ",D90," fin --&gt;")</f>
        <v>&lt;!--  fin --&gt;</v>
      </c>
      <c r="G96" s="82"/>
      <c r="H96" t="s">
        <v>2</v>
      </c>
      <c r="I96" s="81"/>
      <c r="J96" s="67"/>
      <c r="K96" s="67"/>
      <c r="L96" s="67"/>
      <c r="M96" s="67"/>
      <c r="N96" s="67" t="str">
        <f>CONCATENATE("&lt;!-- ",L90," fin --&gt;")</f>
        <v>&lt;!--  fin --&gt;</v>
      </c>
      <c r="O96" s="82"/>
      <c r="R96" s="81"/>
      <c r="S96" s="67"/>
      <c r="T96" s="67"/>
      <c r="U96" s="67"/>
      <c r="V96" s="67"/>
      <c r="W96" s="67" t="str">
        <f>CONCATENATE("&lt;!-- ",U90," fin --&gt;")</f>
        <v>&lt;!--  fin --&gt;</v>
      </c>
      <c r="X96" s="82"/>
      <c r="Y96" t="s">
        <v>2</v>
      </c>
    </row>
    <row r="97" ht="14.55" spans="1:23">
      <c r="A97" s="83"/>
      <c r="B97" s="69"/>
      <c r="C97" s="69"/>
      <c r="D97" s="84"/>
      <c r="E97" s="69"/>
      <c r="F97" s="67" t="str">
        <f>""</f>
        <v/>
      </c>
      <c r="I97" s="83"/>
      <c r="J97" s="69"/>
      <c r="K97" s="69"/>
      <c r="L97" s="84"/>
      <c r="M97" s="69"/>
      <c r="N97" s="67" t="str">
        <f>""</f>
        <v/>
      </c>
      <c r="R97" s="83"/>
      <c r="S97" s="69"/>
      <c r="T97" s="69"/>
      <c r="U97" s="84"/>
      <c r="V97" s="69"/>
      <c r="W97" s="67" t="str">
        <f>""</f>
        <v/>
      </c>
    </row>
    <row r="98" spans="1:25">
      <c r="A98" s="83" t="s">
        <v>196</v>
      </c>
      <c r="B98" s="69"/>
      <c r="C98" s="69"/>
      <c r="D98" s="70"/>
      <c r="E98" s="69" t="s">
        <v>2</v>
      </c>
      <c r="F98" s="69" t="str">
        <f>CONCATENATE("&lt;!-- ",D98," --&gt;")</f>
        <v>&lt;!--  --&gt;</v>
      </c>
      <c r="G98" s="72"/>
      <c r="H98" t="s">
        <v>2</v>
      </c>
      <c r="I98" s="83" t="s">
        <v>196</v>
      </c>
      <c r="J98" s="69"/>
      <c r="K98" s="69"/>
      <c r="L98" s="70"/>
      <c r="M98" s="69"/>
      <c r="N98" s="69" t="str">
        <f>CONCATENATE("&lt;!-- ",L98," --&gt;")</f>
        <v>&lt;!--  --&gt;</v>
      </c>
      <c r="O98" s="72"/>
      <c r="R98" s="83" t="str">
        <f>I98</f>
        <v>Título 12</v>
      </c>
      <c r="S98" s="69"/>
      <c r="T98" s="69"/>
      <c r="U98" s="70"/>
      <c r="V98" s="69"/>
      <c r="W98" s="69" t="str">
        <f>CONCATENATE("&lt;!-- ",U98," --&gt;")</f>
        <v>&lt;!--  --&gt;</v>
      </c>
      <c r="X98" s="72"/>
      <c r="Y98" t="s">
        <v>2</v>
      </c>
    </row>
    <row r="99" ht="14.4" spans="1:25">
      <c r="A99" s="73" t="s">
        <v>166</v>
      </c>
      <c r="B99" s="74" t="s">
        <v>167</v>
      </c>
      <c r="C99" s="75" t="s">
        <v>168</v>
      </c>
      <c r="F99" t="s">
        <v>90</v>
      </c>
      <c r="G99" s="77"/>
      <c r="I99" s="73" t="s">
        <v>166</v>
      </c>
      <c r="J99" s="74" t="s">
        <v>167</v>
      </c>
      <c r="K99" s="75" t="s">
        <v>168</v>
      </c>
      <c r="N99" t="str">
        <f>CONCATENATE(J99,L99,K99)</f>
        <v>&lt;div &gt;</v>
      </c>
      <c r="O99" s="77"/>
      <c r="R99" s="73" t="s">
        <v>166</v>
      </c>
      <c r="S99" s="74" t="s">
        <v>167</v>
      </c>
      <c r="T99" s="75" t="s">
        <v>168</v>
      </c>
      <c r="W99" t="str">
        <f>CONCATENATE(S99,U99,T99)</f>
        <v>&lt;div &gt;</v>
      </c>
      <c r="X99" s="77"/>
      <c r="Y99" t="s">
        <v>2</v>
      </c>
    </row>
    <row r="100" spans="1:25">
      <c r="A100" s="73"/>
      <c r="D100" s="76"/>
      <c r="E100" t="str">
        <f>CONCATENATE("id=",Comillas,D100,Comillas)</f>
        <v>id=""</v>
      </c>
      <c r="F100" t="str">
        <f>CONCATENATE("&lt;h3 ",E100,"&gt;",D98,"&lt;/h3&gt;")</f>
        <v>&lt;h3 id=""&gt;&lt;/h3&gt;</v>
      </c>
      <c r="G100" s="77"/>
      <c r="H100" t="s">
        <v>2</v>
      </c>
      <c r="I100" s="73"/>
      <c r="N100" t="str">
        <f>CONCATENATE("&lt;h4&gt;",L98,"&lt;/h4&gt;")</f>
        <v>&lt;h4&gt;&lt;/h4&gt;</v>
      </c>
      <c r="O100" s="77"/>
      <c r="R100" s="73"/>
      <c r="W100" t="str">
        <f>CONCATENATE("&lt;h5&gt;",U98,"&lt;/h5&gt;")</f>
        <v>&lt;h5&gt;&lt;/h5&gt;</v>
      </c>
      <c r="X100" s="77"/>
      <c r="Y100" t="s">
        <v>2</v>
      </c>
    </row>
    <row r="101" spans="1:25">
      <c r="A101" s="73"/>
      <c r="F101" t="str">
        <f>IF(D102&lt;&gt;"","&lt;p&gt;","")</f>
        <v/>
      </c>
      <c r="G101" s="77"/>
      <c r="H101" t="s">
        <v>2</v>
      </c>
      <c r="I101" s="73"/>
      <c r="N101" t="str">
        <f>IF(L102&lt;&gt;"","&lt;p&gt;","")</f>
        <v/>
      </c>
      <c r="O101" s="77"/>
      <c r="R101" s="73"/>
      <c r="W101" t="str">
        <f>IF(U102&lt;&gt;"","&lt;p&gt;","")</f>
        <v/>
      </c>
      <c r="X101" s="77"/>
      <c r="Y101" t="s">
        <v>2</v>
      </c>
    </row>
    <row r="102" spans="1:25">
      <c r="A102" s="73" t="s">
        <v>171</v>
      </c>
      <c r="D102" s="76"/>
      <c r="E102" t="s">
        <v>2</v>
      </c>
      <c r="F102" t="str">
        <f>IF(D102&lt;&gt;"",D102,"")</f>
        <v/>
      </c>
      <c r="G102" s="77"/>
      <c r="H102" t="s">
        <v>2</v>
      </c>
      <c r="I102" s="73" t="s">
        <v>171</v>
      </c>
      <c r="L102" s="76"/>
      <c r="M102" t="s">
        <v>2</v>
      </c>
      <c r="N102" t="str">
        <f>IF(L102&lt;&gt;"",L102,"")</f>
        <v/>
      </c>
      <c r="O102" s="77"/>
      <c r="R102" s="73" t="s">
        <v>171</v>
      </c>
      <c r="U102" s="76"/>
      <c r="V102" t="s">
        <v>2</v>
      </c>
      <c r="W102" t="str">
        <f>IF(U102&lt;&gt;"",U102,"")</f>
        <v/>
      </c>
      <c r="X102" s="77"/>
      <c r="Y102" t="s">
        <v>2</v>
      </c>
    </row>
    <row r="103" spans="1:25">
      <c r="A103" s="73"/>
      <c r="F103" t="s">
        <v>112</v>
      </c>
      <c r="G103" s="77"/>
      <c r="H103" t="s">
        <v>2</v>
      </c>
      <c r="I103" s="73"/>
      <c r="N103" t="s">
        <v>112</v>
      </c>
      <c r="O103" s="77"/>
      <c r="R103" s="73"/>
      <c r="W103" t="s">
        <v>112</v>
      </c>
      <c r="X103" s="77"/>
      <c r="Y103" t="s">
        <v>2</v>
      </c>
    </row>
    <row r="104" ht="14.55" spans="1:25">
      <c r="A104" s="81"/>
      <c r="B104" s="67"/>
      <c r="C104" s="67"/>
      <c r="D104" s="67"/>
      <c r="E104" s="67"/>
      <c r="F104" s="67" t="str">
        <f>CONCATENATE("&lt;!-- ",D98," fin --&gt;")</f>
        <v>&lt;!--  fin --&gt;</v>
      </c>
      <c r="G104" s="82"/>
      <c r="H104" t="s">
        <v>2</v>
      </c>
      <c r="I104" s="81"/>
      <c r="J104" s="67"/>
      <c r="K104" s="67"/>
      <c r="L104" s="67"/>
      <c r="M104" s="67"/>
      <c r="N104" s="67" t="str">
        <f>CONCATENATE("&lt;!-- ",L98," fin --&gt;")</f>
        <v>&lt;!--  fin --&gt;</v>
      </c>
      <c r="O104" s="82"/>
      <c r="R104" s="81"/>
      <c r="S104" s="67"/>
      <c r="T104" s="67"/>
      <c r="U104" s="67"/>
      <c r="V104" s="67"/>
      <c r="W104" s="67" t="str">
        <f>CONCATENATE("&lt;!-- ",U98," fin --&gt;")</f>
        <v>&lt;!--  fin --&gt;</v>
      </c>
      <c r="X104" s="82"/>
      <c r="Y104" t="s">
        <v>2</v>
      </c>
    </row>
    <row r="105" customFormat="1" ht="14.55" spans="1:23">
      <c r="A105" s="83"/>
      <c r="B105" s="69"/>
      <c r="C105" s="69"/>
      <c r="D105" s="84"/>
      <c r="E105" s="69"/>
      <c r="F105" s="67" t="str">
        <f>""</f>
        <v/>
      </c>
      <c r="I105" s="83"/>
      <c r="J105" s="69"/>
      <c r="K105" s="69"/>
      <c r="L105" s="84"/>
      <c r="M105" s="69"/>
      <c r="N105" s="67" t="str">
        <f>""</f>
        <v/>
      </c>
      <c r="R105" s="83"/>
      <c r="S105" s="69"/>
      <c r="T105" s="69"/>
      <c r="U105" s="84"/>
      <c r="V105" s="69"/>
      <c r="W105" s="67" t="str">
        <f>""</f>
        <v/>
      </c>
    </row>
    <row r="106" customFormat="1" spans="1:25">
      <c r="A106" s="83" t="s">
        <v>197</v>
      </c>
      <c r="B106" s="69"/>
      <c r="C106" s="69"/>
      <c r="D106" s="70"/>
      <c r="E106" s="69" t="s">
        <v>2</v>
      </c>
      <c r="F106" s="69" t="str">
        <f>CONCATENATE("&lt;!-- ",D106," --&gt;")</f>
        <v>&lt;!--  --&gt;</v>
      </c>
      <c r="G106" s="72"/>
      <c r="H106" t="s">
        <v>2</v>
      </c>
      <c r="I106" s="83" t="s">
        <v>197</v>
      </c>
      <c r="J106" s="69"/>
      <c r="K106" s="69"/>
      <c r="L106" s="70"/>
      <c r="M106" s="69"/>
      <c r="N106" s="69" t="str">
        <f>CONCATENATE("&lt;!-- ",L106," --&gt;")</f>
        <v>&lt;!--  --&gt;</v>
      </c>
      <c r="O106" s="72"/>
      <c r="R106" s="83" t="str">
        <f>I106</f>
        <v>Título 13</v>
      </c>
      <c r="S106" s="69"/>
      <c r="T106" s="69"/>
      <c r="U106" s="70"/>
      <c r="V106" s="69"/>
      <c r="W106" s="69" t="str">
        <f>CONCATENATE("&lt;!-- ",U106," --&gt;")</f>
        <v>&lt;!--  --&gt;</v>
      </c>
      <c r="X106" s="72"/>
      <c r="Y106" t="s">
        <v>2</v>
      </c>
    </row>
    <row r="107" customFormat="1" ht="14.4" spans="1:25">
      <c r="A107" s="73" t="s">
        <v>166</v>
      </c>
      <c r="B107" s="74" t="s">
        <v>167</v>
      </c>
      <c r="C107" s="75" t="s">
        <v>168</v>
      </c>
      <c r="F107" t="s">
        <v>90</v>
      </c>
      <c r="G107" s="77"/>
      <c r="I107" s="73" t="s">
        <v>166</v>
      </c>
      <c r="J107" s="74" t="s">
        <v>167</v>
      </c>
      <c r="K107" s="75" t="s">
        <v>168</v>
      </c>
      <c r="N107" t="str">
        <f>CONCATENATE(J107,L107,K107)</f>
        <v>&lt;div &gt;</v>
      </c>
      <c r="O107" s="77"/>
      <c r="R107" s="73" t="s">
        <v>166</v>
      </c>
      <c r="S107" s="74" t="s">
        <v>167</v>
      </c>
      <c r="T107" s="75" t="s">
        <v>168</v>
      </c>
      <c r="W107" t="str">
        <f>CONCATENATE(S107,U107,T107)</f>
        <v>&lt;div &gt;</v>
      </c>
      <c r="X107" s="77"/>
      <c r="Y107" t="s">
        <v>2</v>
      </c>
    </row>
    <row r="108" customFormat="1" spans="1:25">
      <c r="A108" s="73"/>
      <c r="D108" s="76"/>
      <c r="E108" t="str">
        <f>CONCATENATE("id=",Comillas,D108,Comillas)</f>
        <v>id=""</v>
      </c>
      <c r="F108" t="str">
        <f>CONCATENATE("&lt;h3 ",E108,"&gt;",D106,"&lt;/h3&gt;")</f>
        <v>&lt;h3 id=""&gt;&lt;/h3&gt;</v>
      </c>
      <c r="G108" s="77"/>
      <c r="H108" t="s">
        <v>2</v>
      </c>
      <c r="I108" s="73"/>
      <c r="N108" t="str">
        <f>CONCATENATE("&lt;h4&gt;",L106,"&lt;/h4&gt;")</f>
        <v>&lt;h4&gt;&lt;/h4&gt;</v>
      </c>
      <c r="O108" s="77"/>
      <c r="R108" s="73"/>
      <c r="W108" t="str">
        <f>CONCATENATE("&lt;h5&gt;",U106,"&lt;/h5&gt;")</f>
        <v>&lt;h5&gt;&lt;/h5&gt;</v>
      </c>
      <c r="X108" s="77"/>
      <c r="Y108" t="s">
        <v>2</v>
      </c>
    </row>
    <row r="109" customFormat="1" spans="1:25">
      <c r="A109" s="73"/>
      <c r="F109" t="str">
        <f>IF(D110&lt;&gt;"","&lt;p&gt;","")</f>
        <v/>
      </c>
      <c r="G109" s="77"/>
      <c r="H109" t="s">
        <v>2</v>
      </c>
      <c r="I109" s="73"/>
      <c r="N109" t="str">
        <f>IF(L110&lt;&gt;"","&lt;p&gt;","")</f>
        <v/>
      </c>
      <c r="O109" s="77"/>
      <c r="R109" s="73"/>
      <c r="W109" t="str">
        <f>IF(U110&lt;&gt;"","&lt;p&gt;","")</f>
        <v/>
      </c>
      <c r="X109" s="77"/>
      <c r="Y109" t="s">
        <v>2</v>
      </c>
    </row>
    <row r="110" customFormat="1" spans="1:25">
      <c r="A110" s="73" t="s">
        <v>171</v>
      </c>
      <c r="D110" s="76"/>
      <c r="E110" t="s">
        <v>2</v>
      </c>
      <c r="F110" t="str">
        <f>IF(D110&lt;&gt;"",D110,"")</f>
        <v/>
      </c>
      <c r="G110" s="77"/>
      <c r="H110" t="s">
        <v>2</v>
      </c>
      <c r="I110" s="73" t="s">
        <v>171</v>
      </c>
      <c r="L110" s="76"/>
      <c r="M110" t="s">
        <v>2</v>
      </c>
      <c r="N110" t="str">
        <f>IF(L110&lt;&gt;"",L110,"")</f>
        <v/>
      </c>
      <c r="O110" s="77"/>
      <c r="R110" s="73" t="s">
        <v>171</v>
      </c>
      <c r="U110" s="76"/>
      <c r="V110" t="s">
        <v>2</v>
      </c>
      <c r="W110" t="str">
        <f>IF(U110&lt;&gt;"",U110,"")</f>
        <v/>
      </c>
      <c r="X110" s="77"/>
      <c r="Y110" t="s">
        <v>2</v>
      </c>
    </row>
    <row r="111" customFormat="1" spans="1:25">
      <c r="A111" s="73"/>
      <c r="F111" t="s">
        <v>112</v>
      </c>
      <c r="G111" s="77"/>
      <c r="H111" t="s">
        <v>2</v>
      </c>
      <c r="I111" s="73"/>
      <c r="N111" t="s">
        <v>112</v>
      </c>
      <c r="O111" s="77"/>
      <c r="R111" s="73"/>
      <c r="W111" t="s">
        <v>112</v>
      </c>
      <c r="X111" s="77"/>
      <c r="Y111" t="s">
        <v>2</v>
      </c>
    </row>
    <row r="112" customFormat="1" ht="14.55" spans="1:25">
      <c r="A112" s="81"/>
      <c r="B112" s="67"/>
      <c r="C112" s="67"/>
      <c r="D112" s="67"/>
      <c r="E112" s="67"/>
      <c r="F112" s="67" t="str">
        <f>CONCATENATE("&lt;!-- ",D106," fin --&gt;")</f>
        <v>&lt;!--  fin --&gt;</v>
      </c>
      <c r="G112" s="82"/>
      <c r="H112" t="s">
        <v>2</v>
      </c>
      <c r="I112" s="81"/>
      <c r="J112" s="67"/>
      <c r="K112" s="67"/>
      <c r="L112" s="67"/>
      <c r="M112" s="67"/>
      <c r="N112" s="67" t="str">
        <f>CONCATENATE("&lt;!-- ",L106," fin --&gt;")</f>
        <v>&lt;!--  fin --&gt;</v>
      </c>
      <c r="O112" s="82"/>
      <c r="R112" s="81"/>
      <c r="S112" s="67"/>
      <c r="T112" s="67"/>
      <c r="U112" s="67"/>
      <c r="V112" s="67"/>
      <c r="W112" s="67" t="str">
        <f>CONCATENATE("&lt;!-- ",U106," fin --&gt;")</f>
        <v>&lt;!--  fin --&gt;</v>
      </c>
      <c r="X112" s="82"/>
      <c r="Y112" t="s">
        <v>2</v>
      </c>
    </row>
    <row r="113" customFormat="1" ht="14.55" spans="1:23">
      <c r="A113" s="83"/>
      <c r="B113" s="69"/>
      <c r="C113" s="69"/>
      <c r="D113" s="84"/>
      <c r="E113" s="69"/>
      <c r="F113" s="67" t="str">
        <f>""</f>
        <v/>
      </c>
      <c r="I113" s="83"/>
      <c r="J113" s="69"/>
      <c r="K113" s="69"/>
      <c r="L113" s="84"/>
      <c r="M113" s="69"/>
      <c r="N113" s="67" t="str">
        <f>""</f>
        <v/>
      </c>
      <c r="R113" s="83"/>
      <c r="S113" s="69"/>
      <c r="T113" s="69"/>
      <c r="U113" s="84"/>
      <c r="V113" s="69"/>
      <c r="W113" s="67" t="str">
        <f>""</f>
        <v/>
      </c>
    </row>
    <row r="114" customFormat="1" spans="1:25">
      <c r="A114" s="83" t="s">
        <v>198</v>
      </c>
      <c r="B114" s="69"/>
      <c r="C114" s="69"/>
      <c r="D114" s="70"/>
      <c r="E114" s="69" t="s">
        <v>2</v>
      </c>
      <c r="F114" s="69" t="str">
        <f>CONCATENATE("&lt;!-- ",D114," --&gt;")</f>
        <v>&lt;!--  --&gt;</v>
      </c>
      <c r="G114" s="72"/>
      <c r="H114" t="s">
        <v>2</v>
      </c>
      <c r="I114" s="83" t="s">
        <v>198</v>
      </c>
      <c r="J114" s="69"/>
      <c r="K114" s="69"/>
      <c r="L114" s="70"/>
      <c r="M114" s="69"/>
      <c r="N114" s="69" t="str">
        <f>CONCATENATE("&lt;!-- ",L114," --&gt;")</f>
        <v>&lt;!--  --&gt;</v>
      </c>
      <c r="O114" s="72"/>
      <c r="R114" s="83" t="str">
        <f>I114</f>
        <v>Título 14</v>
      </c>
      <c r="S114" s="69"/>
      <c r="T114" s="69"/>
      <c r="U114" s="70"/>
      <c r="V114" s="69"/>
      <c r="W114" s="69" t="str">
        <f>CONCATENATE("&lt;!-- ",U114," --&gt;")</f>
        <v>&lt;!--  --&gt;</v>
      </c>
      <c r="X114" s="72"/>
      <c r="Y114" t="s">
        <v>2</v>
      </c>
    </row>
    <row r="115" customFormat="1" ht="14.4" spans="1:25">
      <c r="A115" s="73" t="s">
        <v>166</v>
      </c>
      <c r="B115" s="74" t="s">
        <v>167</v>
      </c>
      <c r="C115" s="75" t="s">
        <v>168</v>
      </c>
      <c r="F115" t="s">
        <v>90</v>
      </c>
      <c r="G115" s="77"/>
      <c r="I115" s="73" t="s">
        <v>166</v>
      </c>
      <c r="J115" s="74" t="s">
        <v>167</v>
      </c>
      <c r="K115" s="75" t="s">
        <v>168</v>
      </c>
      <c r="N115" t="str">
        <f>CONCATENATE(J115,L115,K115)</f>
        <v>&lt;div &gt;</v>
      </c>
      <c r="O115" s="77"/>
      <c r="R115" s="73" t="s">
        <v>166</v>
      </c>
      <c r="S115" s="74" t="s">
        <v>167</v>
      </c>
      <c r="T115" s="75" t="s">
        <v>168</v>
      </c>
      <c r="W115" t="str">
        <f>CONCATENATE(S115,U115,T115)</f>
        <v>&lt;div &gt;</v>
      </c>
      <c r="X115" s="77"/>
      <c r="Y115" t="s">
        <v>2</v>
      </c>
    </row>
    <row r="116" customFormat="1" spans="1:25">
      <c r="A116" s="73"/>
      <c r="D116" s="76"/>
      <c r="E116" t="str">
        <f>CONCATENATE("id=",Comillas,D116,Comillas)</f>
        <v>id=""</v>
      </c>
      <c r="F116" t="str">
        <f>CONCATENATE("&lt;h3 ",E116,"&gt;",D114,"&lt;/h3&gt;")</f>
        <v>&lt;h3 id=""&gt;&lt;/h3&gt;</v>
      </c>
      <c r="G116" s="77"/>
      <c r="H116" t="s">
        <v>2</v>
      </c>
      <c r="I116" s="73"/>
      <c r="N116" t="str">
        <f>CONCATENATE("&lt;h4&gt;",L114,"&lt;/h4&gt;")</f>
        <v>&lt;h4&gt;&lt;/h4&gt;</v>
      </c>
      <c r="O116" s="77"/>
      <c r="R116" s="73"/>
      <c r="W116" t="str">
        <f>CONCATENATE("&lt;h5&gt;",U114,"&lt;/h5&gt;")</f>
        <v>&lt;h5&gt;&lt;/h5&gt;</v>
      </c>
      <c r="X116" s="77"/>
      <c r="Y116" t="s">
        <v>2</v>
      </c>
    </row>
    <row r="117" customFormat="1" spans="1:25">
      <c r="A117" s="73"/>
      <c r="F117" t="str">
        <f>IF(D118&lt;&gt;"","&lt;p&gt;","")</f>
        <v/>
      </c>
      <c r="G117" s="77"/>
      <c r="H117" t="s">
        <v>2</v>
      </c>
      <c r="I117" s="73"/>
      <c r="N117" t="str">
        <f>IF(L118&lt;&gt;"","&lt;p&gt;","")</f>
        <v/>
      </c>
      <c r="O117" s="77"/>
      <c r="R117" s="73"/>
      <c r="W117" t="str">
        <f>IF(U118&lt;&gt;"","&lt;p&gt;","")</f>
        <v/>
      </c>
      <c r="X117" s="77"/>
      <c r="Y117" t="s">
        <v>2</v>
      </c>
    </row>
    <row r="118" customFormat="1" spans="1:25">
      <c r="A118" s="73" t="s">
        <v>171</v>
      </c>
      <c r="D118" s="76"/>
      <c r="E118" t="s">
        <v>2</v>
      </c>
      <c r="F118" t="str">
        <f>IF(D118&lt;&gt;"",D118,"")</f>
        <v/>
      </c>
      <c r="G118" s="77"/>
      <c r="H118" t="s">
        <v>2</v>
      </c>
      <c r="I118" s="73" t="s">
        <v>171</v>
      </c>
      <c r="L118" s="76"/>
      <c r="M118" t="s">
        <v>2</v>
      </c>
      <c r="N118" t="str">
        <f>IF(L118&lt;&gt;"",L118,"")</f>
        <v/>
      </c>
      <c r="O118" s="77"/>
      <c r="R118" s="73" t="s">
        <v>171</v>
      </c>
      <c r="U118" s="76"/>
      <c r="V118" t="s">
        <v>2</v>
      </c>
      <c r="W118" t="str">
        <f>IF(U118&lt;&gt;"",U118,"")</f>
        <v/>
      </c>
      <c r="X118" s="77"/>
      <c r="Y118" t="s">
        <v>2</v>
      </c>
    </row>
    <row r="119" customFormat="1" spans="1:25">
      <c r="A119" s="73"/>
      <c r="F119" t="s">
        <v>112</v>
      </c>
      <c r="G119" s="77"/>
      <c r="H119" t="s">
        <v>2</v>
      </c>
      <c r="I119" s="73"/>
      <c r="N119" t="s">
        <v>112</v>
      </c>
      <c r="O119" s="77"/>
      <c r="R119" s="73"/>
      <c r="W119" t="s">
        <v>112</v>
      </c>
      <c r="X119" s="77"/>
      <c r="Y119" t="s">
        <v>2</v>
      </c>
    </row>
    <row r="120" customFormat="1" ht="14.55" spans="1:25">
      <c r="A120" s="81"/>
      <c r="B120" s="67"/>
      <c r="C120" s="67"/>
      <c r="D120" s="67"/>
      <c r="E120" s="67"/>
      <c r="F120" s="67" t="str">
        <f>CONCATENATE("&lt;!-- ",D114," fin --&gt;")</f>
        <v>&lt;!--  fin --&gt;</v>
      </c>
      <c r="G120" s="82"/>
      <c r="H120" t="s">
        <v>2</v>
      </c>
      <c r="I120" s="81"/>
      <c r="J120" s="67"/>
      <c r="K120" s="67"/>
      <c r="L120" s="67"/>
      <c r="M120" s="67"/>
      <c r="N120" s="67" t="str">
        <f>CONCATENATE("&lt;!-- ",L114," fin --&gt;")</f>
        <v>&lt;!--  fin --&gt;</v>
      </c>
      <c r="O120" s="82"/>
      <c r="R120" s="81"/>
      <c r="S120" s="67"/>
      <c r="T120" s="67"/>
      <c r="U120" s="67"/>
      <c r="V120" s="67"/>
      <c r="W120" s="67" t="str">
        <f>CONCATENATE("&lt;!-- ",U114," fin --&gt;")</f>
        <v>&lt;!--  fin --&gt;</v>
      </c>
      <c r="X120" s="82"/>
      <c r="Y120" t="s">
        <v>2</v>
      </c>
    </row>
    <row r="121" customFormat="1" ht="14.55" spans="1:23">
      <c r="A121" s="83"/>
      <c r="B121" s="69"/>
      <c r="C121" s="69"/>
      <c r="D121" s="84"/>
      <c r="E121" s="69"/>
      <c r="F121" s="67" t="str">
        <f>""</f>
        <v/>
      </c>
      <c r="I121" s="83"/>
      <c r="J121" s="69"/>
      <c r="K121" s="69"/>
      <c r="L121" s="84"/>
      <c r="M121" s="69"/>
      <c r="N121" s="67" t="str">
        <f>""</f>
        <v/>
      </c>
      <c r="R121" s="83"/>
      <c r="S121" s="69"/>
      <c r="T121" s="69"/>
      <c r="U121" s="84"/>
      <c r="V121" s="69"/>
      <c r="W121" s="67" t="str">
        <f>""</f>
        <v/>
      </c>
    </row>
    <row r="122" customFormat="1" spans="1:25">
      <c r="A122" s="83" t="s">
        <v>199</v>
      </c>
      <c r="B122" s="69"/>
      <c r="C122" s="69"/>
      <c r="D122" s="70"/>
      <c r="E122" s="69" t="s">
        <v>2</v>
      </c>
      <c r="F122" s="69" t="str">
        <f>CONCATENATE("&lt;!-- ",D122," --&gt;")</f>
        <v>&lt;!--  --&gt;</v>
      </c>
      <c r="G122" s="72"/>
      <c r="H122" t="s">
        <v>2</v>
      </c>
      <c r="I122" s="83" t="s">
        <v>199</v>
      </c>
      <c r="J122" s="69"/>
      <c r="K122" s="69"/>
      <c r="L122" s="70"/>
      <c r="M122" s="69"/>
      <c r="N122" s="69" t="str">
        <f>CONCATENATE("&lt;!-- ",L122," --&gt;")</f>
        <v>&lt;!--  --&gt;</v>
      </c>
      <c r="O122" s="72"/>
      <c r="R122" s="83" t="str">
        <f>I122</f>
        <v>Título 15</v>
      </c>
      <c r="S122" s="69"/>
      <c r="T122" s="69"/>
      <c r="U122" s="70"/>
      <c r="V122" s="69"/>
      <c r="W122" s="69" t="str">
        <f>CONCATENATE("&lt;!-- ",U122," --&gt;")</f>
        <v>&lt;!--  --&gt;</v>
      </c>
      <c r="X122" s="72"/>
      <c r="Y122" t="s">
        <v>2</v>
      </c>
    </row>
    <row r="123" customFormat="1" ht="14.4" spans="1:25">
      <c r="A123" s="73" t="s">
        <v>166</v>
      </c>
      <c r="B123" s="74" t="s">
        <v>167</v>
      </c>
      <c r="C123" s="75" t="s">
        <v>168</v>
      </c>
      <c r="F123" t="s">
        <v>90</v>
      </c>
      <c r="G123" s="77"/>
      <c r="I123" s="73" t="s">
        <v>166</v>
      </c>
      <c r="J123" s="74" t="s">
        <v>167</v>
      </c>
      <c r="K123" s="75" t="s">
        <v>168</v>
      </c>
      <c r="N123" t="str">
        <f>CONCATENATE(J123,L123,K123)</f>
        <v>&lt;div &gt;</v>
      </c>
      <c r="O123" s="77"/>
      <c r="R123" s="73" t="s">
        <v>166</v>
      </c>
      <c r="S123" s="74" t="s">
        <v>167</v>
      </c>
      <c r="T123" s="75" t="s">
        <v>168</v>
      </c>
      <c r="W123" t="str">
        <f>CONCATENATE(S123,U123,T123)</f>
        <v>&lt;div &gt;</v>
      </c>
      <c r="X123" s="77"/>
      <c r="Y123" t="s">
        <v>2</v>
      </c>
    </row>
    <row r="124" customFormat="1" spans="1:25">
      <c r="A124" s="73"/>
      <c r="D124" s="76"/>
      <c r="E124" t="str">
        <f>CONCATENATE("id=",Comillas,D124,Comillas)</f>
        <v>id=""</v>
      </c>
      <c r="F124" t="str">
        <f>CONCATENATE("&lt;h3 ",E124,"&gt;",D122,"&lt;/h3&gt;")</f>
        <v>&lt;h3 id=""&gt;&lt;/h3&gt;</v>
      </c>
      <c r="G124" s="77"/>
      <c r="H124" t="s">
        <v>2</v>
      </c>
      <c r="I124" s="73"/>
      <c r="N124" t="str">
        <f>CONCATENATE("&lt;h4&gt;",L122,"&lt;/h4&gt;")</f>
        <v>&lt;h4&gt;&lt;/h4&gt;</v>
      </c>
      <c r="O124" s="77"/>
      <c r="R124" s="73"/>
      <c r="W124" t="str">
        <f>CONCATENATE("&lt;h5&gt;",U122,"&lt;/h5&gt;")</f>
        <v>&lt;h5&gt;&lt;/h5&gt;</v>
      </c>
      <c r="X124" s="77"/>
      <c r="Y124" t="s">
        <v>2</v>
      </c>
    </row>
    <row r="125" customFormat="1" spans="1:25">
      <c r="A125" s="73"/>
      <c r="F125" t="str">
        <f>IF(D126&lt;&gt;"","&lt;p&gt;","")</f>
        <v/>
      </c>
      <c r="G125" s="77"/>
      <c r="H125" t="s">
        <v>2</v>
      </c>
      <c r="I125" s="73"/>
      <c r="N125" t="str">
        <f>IF(L126&lt;&gt;"","&lt;p&gt;","")</f>
        <v/>
      </c>
      <c r="O125" s="77"/>
      <c r="R125" s="73"/>
      <c r="W125" t="str">
        <f>IF(U126&lt;&gt;"","&lt;p&gt;","")</f>
        <v/>
      </c>
      <c r="X125" s="77"/>
      <c r="Y125" t="s">
        <v>2</v>
      </c>
    </row>
    <row r="126" customFormat="1" spans="1:25">
      <c r="A126" s="73" t="s">
        <v>171</v>
      </c>
      <c r="D126" s="76"/>
      <c r="E126" t="s">
        <v>2</v>
      </c>
      <c r="F126" t="str">
        <f>IF(D126&lt;&gt;"",D126,"")</f>
        <v/>
      </c>
      <c r="G126" s="77"/>
      <c r="H126" t="s">
        <v>2</v>
      </c>
      <c r="I126" s="73" t="s">
        <v>171</v>
      </c>
      <c r="L126" s="76"/>
      <c r="M126" t="s">
        <v>2</v>
      </c>
      <c r="N126" t="str">
        <f>IF(L126&lt;&gt;"",L126,"")</f>
        <v/>
      </c>
      <c r="O126" s="77"/>
      <c r="R126" s="73" t="s">
        <v>171</v>
      </c>
      <c r="U126" s="76"/>
      <c r="V126" t="s">
        <v>2</v>
      </c>
      <c r="W126" t="str">
        <f>IF(U126&lt;&gt;"",U126,"")</f>
        <v/>
      </c>
      <c r="X126" s="77"/>
      <c r="Y126" t="s">
        <v>2</v>
      </c>
    </row>
    <row r="127" customFormat="1" spans="1:25">
      <c r="A127" s="73"/>
      <c r="F127" t="s">
        <v>112</v>
      </c>
      <c r="G127" s="77"/>
      <c r="H127" t="s">
        <v>2</v>
      </c>
      <c r="I127" s="73"/>
      <c r="N127" t="s">
        <v>112</v>
      </c>
      <c r="O127" s="77"/>
      <c r="R127" s="73"/>
      <c r="W127" t="s">
        <v>112</v>
      </c>
      <c r="X127" s="77"/>
      <c r="Y127" t="s">
        <v>2</v>
      </c>
    </row>
    <row r="128" customFormat="1" ht="14.55" spans="1:25">
      <c r="A128" s="81"/>
      <c r="B128" s="67"/>
      <c r="C128" s="67"/>
      <c r="D128" s="67"/>
      <c r="E128" s="67"/>
      <c r="F128" s="67" t="str">
        <f>CONCATENATE("&lt;!-- ",D122," fin --&gt;")</f>
        <v>&lt;!--  fin --&gt;</v>
      </c>
      <c r="G128" s="82"/>
      <c r="H128" t="s">
        <v>2</v>
      </c>
      <c r="I128" s="81"/>
      <c r="J128" s="67"/>
      <c r="K128" s="67"/>
      <c r="L128" s="67"/>
      <c r="M128" s="67"/>
      <c r="N128" s="67" t="str">
        <f>CONCATENATE("&lt;!-- ",L122," fin --&gt;")</f>
        <v>&lt;!--  fin --&gt;</v>
      </c>
      <c r="O128" s="82"/>
      <c r="R128" s="81"/>
      <c r="S128" s="67"/>
      <c r="T128" s="67"/>
      <c r="U128" s="67"/>
      <c r="V128" s="67"/>
      <c r="W128" s="67" t="str">
        <f>CONCATENATE("&lt;!-- ",U122," fin --&gt;")</f>
        <v>&lt;!--  fin --&gt;</v>
      </c>
      <c r="X128" s="82"/>
      <c r="Y128" t="s">
        <v>2</v>
      </c>
    </row>
    <row r="129" customFormat="1" ht="14.55" spans="1:23">
      <c r="A129" s="83"/>
      <c r="B129" s="69"/>
      <c r="C129" s="69"/>
      <c r="D129" s="84"/>
      <c r="E129" s="69"/>
      <c r="F129" s="67" t="str">
        <f>""</f>
        <v/>
      </c>
      <c r="I129" s="83"/>
      <c r="J129" s="69"/>
      <c r="K129" s="69"/>
      <c r="L129" s="84"/>
      <c r="M129" s="69"/>
      <c r="N129" s="67" t="str">
        <f>""</f>
        <v/>
      </c>
      <c r="R129" s="83"/>
      <c r="S129" s="69"/>
      <c r="T129" s="69"/>
      <c r="U129" s="84"/>
      <c r="V129" s="69"/>
      <c r="W129" s="67" t="str">
        <f>""</f>
        <v/>
      </c>
    </row>
    <row r="130" customFormat="1" spans="1:25">
      <c r="A130" s="83" t="s">
        <v>200</v>
      </c>
      <c r="B130" s="69"/>
      <c r="C130" s="69"/>
      <c r="D130" s="70"/>
      <c r="E130" s="69" t="s">
        <v>2</v>
      </c>
      <c r="F130" s="69" t="str">
        <f>CONCATENATE("&lt;!-- ",D130," --&gt;")</f>
        <v>&lt;!--  --&gt;</v>
      </c>
      <c r="G130" s="72"/>
      <c r="H130" t="s">
        <v>2</v>
      </c>
      <c r="I130" s="83" t="s">
        <v>200</v>
      </c>
      <c r="J130" s="69"/>
      <c r="K130" s="69"/>
      <c r="L130" s="70"/>
      <c r="M130" s="69"/>
      <c r="N130" s="69" t="str">
        <f>CONCATENATE("&lt;!-- ",L130," --&gt;")</f>
        <v>&lt;!--  --&gt;</v>
      </c>
      <c r="O130" s="72"/>
      <c r="R130" s="83" t="str">
        <f>I130</f>
        <v>Título 16</v>
      </c>
      <c r="S130" s="69"/>
      <c r="T130" s="69"/>
      <c r="U130" s="70"/>
      <c r="V130" s="69"/>
      <c r="W130" s="69" t="str">
        <f>CONCATENATE("&lt;!-- ",U130," --&gt;")</f>
        <v>&lt;!--  --&gt;</v>
      </c>
      <c r="X130" s="72"/>
      <c r="Y130" t="s">
        <v>2</v>
      </c>
    </row>
    <row r="131" customFormat="1" ht="14.4" spans="1:25">
      <c r="A131" s="73" t="s">
        <v>166</v>
      </c>
      <c r="B131" s="74" t="s">
        <v>167</v>
      </c>
      <c r="C131" s="75" t="s">
        <v>168</v>
      </c>
      <c r="F131" t="s">
        <v>90</v>
      </c>
      <c r="G131" s="77"/>
      <c r="I131" s="73" t="s">
        <v>166</v>
      </c>
      <c r="J131" s="74" t="s">
        <v>167</v>
      </c>
      <c r="K131" s="75" t="s">
        <v>168</v>
      </c>
      <c r="N131" t="str">
        <f>CONCATENATE(J131,L131,K131)</f>
        <v>&lt;div &gt;</v>
      </c>
      <c r="O131" s="77"/>
      <c r="R131" s="73" t="s">
        <v>166</v>
      </c>
      <c r="S131" s="74" t="s">
        <v>167</v>
      </c>
      <c r="T131" s="75" t="s">
        <v>168</v>
      </c>
      <c r="W131" t="str">
        <f>CONCATENATE(S131,U131,T131)</f>
        <v>&lt;div &gt;</v>
      </c>
      <c r="X131" s="77"/>
      <c r="Y131" t="s">
        <v>2</v>
      </c>
    </row>
    <row r="132" customFormat="1" spans="1:25">
      <c r="A132" s="73"/>
      <c r="D132" s="76"/>
      <c r="E132" t="str">
        <f>CONCATENATE("id=",Comillas,D132,Comillas)</f>
        <v>id=""</v>
      </c>
      <c r="F132" t="str">
        <f>CONCATENATE("&lt;h3 ",E132,"&gt;",D130,"&lt;/h3&gt;")</f>
        <v>&lt;h3 id=""&gt;&lt;/h3&gt;</v>
      </c>
      <c r="G132" s="77"/>
      <c r="H132" t="s">
        <v>2</v>
      </c>
      <c r="I132" s="73"/>
      <c r="N132" t="str">
        <f>CONCATENATE("&lt;h4&gt;",L130,"&lt;/h4&gt;")</f>
        <v>&lt;h4&gt;&lt;/h4&gt;</v>
      </c>
      <c r="O132" s="77"/>
      <c r="R132" s="73"/>
      <c r="W132" t="str">
        <f>CONCATENATE("&lt;h5&gt;",U130,"&lt;/h5&gt;")</f>
        <v>&lt;h5&gt;&lt;/h5&gt;</v>
      </c>
      <c r="X132" s="77"/>
      <c r="Y132" t="s">
        <v>2</v>
      </c>
    </row>
    <row r="133" customFormat="1" spans="1:25">
      <c r="A133" s="73"/>
      <c r="F133" t="str">
        <f>IF(D134&lt;&gt;"","&lt;p&gt;","")</f>
        <v/>
      </c>
      <c r="G133" s="77"/>
      <c r="H133" t="s">
        <v>2</v>
      </c>
      <c r="I133" s="73"/>
      <c r="N133" t="str">
        <f>IF(L134&lt;&gt;"","&lt;p&gt;","")</f>
        <v/>
      </c>
      <c r="O133" s="77"/>
      <c r="R133" s="73"/>
      <c r="W133" t="str">
        <f>IF(U134&lt;&gt;"","&lt;p&gt;","")</f>
        <v/>
      </c>
      <c r="X133" s="77"/>
      <c r="Y133" t="s">
        <v>2</v>
      </c>
    </row>
    <row r="134" customFormat="1" spans="1:25">
      <c r="A134" s="73" t="s">
        <v>171</v>
      </c>
      <c r="D134" s="76"/>
      <c r="E134" t="s">
        <v>2</v>
      </c>
      <c r="F134" t="str">
        <f>IF(D134&lt;&gt;"",D134,"")</f>
        <v/>
      </c>
      <c r="G134" s="77"/>
      <c r="H134" t="s">
        <v>2</v>
      </c>
      <c r="I134" s="73" t="s">
        <v>171</v>
      </c>
      <c r="L134" s="76"/>
      <c r="M134" t="s">
        <v>2</v>
      </c>
      <c r="N134" t="str">
        <f>IF(L134&lt;&gt;"",L134,"")</f>
        <v/>
      </c>
      <c r="O134" s="77"/>
      <c r="R134" s="73" t="s">
        <v>171</v>
      </c>
      <c r="U134" s="76"/>
      <c r="V134" t="s">
        <v>2</v>
      </c>
      <c r="W134" t="str">
        <f>IF(U134&lt;&gt;"",U134,"")</f>
        <v/>
      </c>
      <c r="X134" s="77"/>
      <c r="Y134" t="s">
        <v>2</v>
      </c>
    </row>
    <row r="135" customFormat="1" spans="1:25">
      <c r="A135" s="73"/>
      <c r="F135" t="s">
        <v>112</v>
      </c>
      <c r="G135" s="77"/>
      <c r="H135" t="s">
        <v>2</v>
      </c>
      <c r="I135" s="73"/>
      <c r="N135" t="s">
        <v>112</v>
      </c>
      <c r="O135" s="77"/>
      <c r="R135" s="73"/>
      <c r="W135" t="s">
        <v>112</v>
      </c>
      <c r="X135" s="77"/>
      <c r="Y135" t="s">
        <v>2</v>
      </c>
    </row>
    <row r="136" customFormat="1" ht="14.55" spans="1:25">
      <c r="A136" s="81"/>
      <c r="B136" s="67"/>
      <c r="C136" s="67"/>
      <c r="D136" s="67"/>
      <c r="E136" s="67"/>
      <c r="F136" s="67" t="str">
        <f>CONCATENATE("&lt;!-- ",D130," fin --&gt;")</f>
        <v>&lt;!--  fin --&gt;</v>
      </c>
      <c r="G136" s="82"/>
      <c r="H136" t="s">
        <v>2</v>
      </c>
      <c r="I136" s="81"/>
      <c r="J136" s="67"/>
      <c r="K136" s="67"/>
      <c r="L136" s="67"/>
      <c r="M136" s="67"/>
      <c r="N136" s="67" t="str">
        <f>CONCATENATE("&lt;!-- ",L130," fin --&gt;")</f>
        <v>&lt;!--  fin --&gt;</v>
      </c>
      <c r="O136" s="82"/>
      <c r="R136" s="81"/>
      <c r="S136" s="67"/>
      <c r="T136" s="67"/>
      <c r="U136" s="67"/>
      <c r="V136" s="67"/>
      <c r="W136" s="67" t="str">
        <f>CONCATENATE("&lt;!-- ",U130," fin --&gt;")</f>
        <v>&lt;!--  fin --&gt;</v>
      </c>
      <c r="X136" s="82"/>
      <c r="Y136" t="s">
        <v>2</v>
      </c>
    </row>
    <row r="137" customFormat="1" ht="14.55" spans="1:23">
      <c r="A137" s="83"/>
      <c r="B137" s="69"/>
      <c r="C137" s="69"/>
      <c r="D137" s="84"/>
      <c r="E137" s="69"/>
      <c r="F137" s="67" t="str">
        <f>""</f>
        <v/>
      </c>
      <c r="I137" s="83"/>
      <c r="J137" s="69"/>
      <c r="K137" s="69"/>
      <c r="L137" s="84"/>
      <c r="M137" s="69"/>
      <c r="N137" s="67" t="str">
        <f>""</f>
        <v/>
      </c>
      <c r="R137" s="83"/>
      <c r="S137" s="69"/>
      <c r="T137" s="69"/>
      <c r="U137" s="84"/>
      <c r="V137" s="69"/>
      <c r="W137" s="67" t="str">
        <f>""</f>
        <v/>
      </c>
    </row>
    <row r="138" customFormat="1" spans="1:25">
      <c r="A138" s="83" t="s">
        <v>201</v>
      </c>
      <c r="B138" s="69"/>
      <c r="C138" s="69"/>
      <c r="D138" s="70"/>
      <c r="E138" s="69" t="s">
        <v>2</v>
      </c>
      <c r="F138" s="69" t="str">
        <f>CONCATENATE("&lt;!-- ",D138," --&gt;")</f>
        <v>&lt;!--  --&gt;</v>
      </c>
      <c r="G138" s="72"/>
      <c r="H138" t="s">
        <v>2</v>
      </c>
      <c r="I138" s="83" t="s">
        <v>201</v>
      </c>
      <c r="J138" s="69"/>
      <c r="K138" s="69"/>
      <c r="L138" s="70"/>
      <c r="M138" s="69"/>
      <c r="N138" s="69" t="str">
        <f>CONCATENATE("&lt;!-- ",L138," --&gt;")</f>
        <v>&lt;!--  --&gt;</v>
      </c>
      <c r="O138" s="72"/>
      <c r="R138" s="83" t="str">
        <f>I138</f>
        <v>Título 17</v>
      </c>
      <c r="S138" s="69"/>
      <c r="T138" s="69"/>
      <c r="U138" s="70"/>
      <c r="V138" s="69"/>
      <c r="W138" s="69" t="str">
        <f>CONCATENATE("&lt;!-- ",U138," --&gt;")</f>
        <v>&lt;!--  --&gt;</v>
      </c>
      <c r="X138" s="72"/>
      <c r="Y138" t="s">
        <v>2</v>
      </c>
    </row>
    <row r="139" customFormat="1" ht="14.4" spans="1:25">
      <c r="A139" s="73" t="s">
        <v>166</v>
      </c>
      <c r="B139" s="74" t="s">
        <v>167</v>
      </c>
      <c r="C139" s="75" t="s">
        <v>168</v>
      </c>
      <c r="F139" t="s">
        <v>90</v>
      </c>
      <c r="G139" s="77"/>
      <c r="I139" s="73" t="s">
        <v>166</v>
      </c>
      <c r="J139" s="74" t="s">
        <v>167</v>
      </c>
      <c r="K139" s="75" t="s">
        <v>168</v>
      </c>
      <c r="N139" t="str">
        <f>CONCATENATE(J139,L139,K139)</f>
        <v>&lt;div &gt;</v>
      </c>
      <c r="O139" s="77"/>
      <c r="R139" s="73" t="s">
        <v>166</v>
      </c>
      <c r="S139" s="74" t="s">
        <v>167</v>
      </c>
      <c r="T139" s="75" t="s">
        <v>168</v>
      </c>
      <c r="W139" t="str">
        <f>CONCATENATE(S139,U139,T139)</f>
        <v>&lt;div &gt;</v>
      </c>
      <c r="X139" s="77"/>
      <c r="Y139" t="s">
        <v>2</v>
      </c>
    </row>
    <row r="140" customFormat="1" spans="1:25">
      <c r="A140" s="73"/>
      <c r="D140" s="76"/>
      <c r="E140" t="str">
        <f>CONCATENATE("id=",Comillas,D140,Comillas)</f>
        <v>id=""</v>
      </c>
      <c r="F140" t="str">
        <f>CONCATENATE("&lt;h3 ",E140,"&gt;",D138,"&lt;/h3&gt;")</f>
        <v>&lt;h3 id=""&gt;&lt;/h3&gt;</v>
      </c>
      <c r="G140" s="77"/>
      <c r="H140" t="s">
        <v>2</v>
      </c>
      <c r="I140" s="73"/>
      <c r="N140" t="str">
        <f>CONCATENATE("&lt;h4&gt;",L138,"&lt;/h4&gt;")</f>
        <v>&lt;h4&gt;&lt;/h4&gt;</v>
      </c>
      <c r="O140" s="77"/>
      <c r="R140" s="73"/>
      <c r="W140" t="str">
        <f>CONCATENATE("&lt;h5&gt;",U138,"&lt;/h5&gt;")</f>
        <v>&lt;h5&gt;&lt;/h5&gt;</v>
      </c>
      <c r="X140" s="77"/>
      <c r="Y140" t="s">
        <v>2</v>
      </c>
    </row>
    <row r="141" customFormat="1" spans="1:25">
      <c r="A141" s="73"/>
      <c r="F141" t="str">
        <f>IF(D142&lt;&gt;"","&lt;p&gt;","")</f>
        <v/>
      </c>
      <c r="G141" s="77"/>
      <c r="H141" t="s">
        <v>2</v>
      </c>
      <c r="I141" s="73"/>
      <c r="N141" t="str">
        <f>IF(L142&lt;&gt;"","&lt;p&gt;","")</f>
        <v/>
      </c>
      <c r="O141" s="77"/>
      <c r="R141" s="73"/>
      <c r="W141" t="str">
        <f>IF(U142&lt;&gt;"","&lt;p&gt;","")</f>
        <v/>
      </c>
      <c r="X141" s="77"/>
      <c r="Y141" t="s">
        <v>2</v>
      </c>
    </row>
    <row r="142" customFormat="1" spans="1:25">
      <c r="A142" s="73" t="s">
        <v>171</v>
      </c>
      <c r="D142" s="76"/>
      <c r="E142" t="s">
        <v>2</v>
      </c>
      <c r="F142" t="str">
        <f>IF(D142&lt;&gt;"",D142,"")</f>
        <v/>
      </c>
      <c r="G142" s="77"/>
      <c r="H142" t="s">
        <v>2</v>
      </c>
      <c r="I142" s="73" t="s">
        <v>171</v>
      </c>
      <c r="L142" s="76"/>
      <c r="M142" t="s">
        <v>2</v>
      </c>
      <c r="N142" t="str">
        <f>IF(L142&lt;&gt;"",L142,"")</f>
        <v/>
      </c>
      <c r="O142" s="77"/>
      <c r="R142" s="73" t="s">
        <v>171</v>
      </c>
      <c r="U142" s="76"/>
      <c r="V142" t="s">
        <v>2</v>
      </c>
      <c r="W142" t="str">
        <f>IF(U142&lt;&gt;"",U142,"")</f>
        <v/>
      </c>
      <c r="X142" s="77"/>
      <c r="Y142" t="s">
        <v>2</v>
      </c>
    </row>
    <row r="143" customFormat="1" spans="1:25">
      <c r="A143" s="73"/>
      <c r="F143" t="s">
        <v>112</v>
      </c>
      <c r="G143" s="77"/>
      <c r="H143" t="s">
        <v>2</v>
      </c>
      <c r="I143" s="73"/>
      <c r="N143" t="s">
        <v>112</v>
      </c>
      <c r="O143" s="77"/>
      <c r="R143" s="73"/>
      <c r="W143" t="s">
        <v>112</v>
      </c>
      <c r="X143" s="77"/>
      <c r="Y143" t="s">
        <v>2</v>
      </c>
    </row>
    <row r="144" customFormat="1" ht="14.55" spans="1:25">
      <c r="A144" s="81"/>
      <c r="B144" s="67"/>
      <c r="C144" s="67"/>
      <c r="D144" s="67"/>
      <c r="E144" s="67"/>
      <c r="F144" s="67" t="str">
        <f>CONCATENATE("&lt;!-- ",D138," fin --&gt;")</f>
        <v>&lt;!--  fin --&gt;</v>
      </c>
      <c r="G144" s="82"/>
      <c r="H144" t="s">
        <v>2</v>
      </c>
      <c r="I144" s="81"/>
      <c r="J144" s="67"/>
      <c r="K144" s="67"/>
      <c r="L144" s="67"/>
      <c r="M144" s="67"/>
      <c r="N144" s="67" t="str">
        <f>CONCATENATE("&lt;!-- ",L138," fin --&gt;")</f>
        <v>&lt;!--  fin --&gt;</v>
      </c>
      <c r="O144" s="82"/>
      <c r="R144" s="81"/>
      <c r="S144" s="67"/>
      <c r="T144" s="67"/>
      <c r="U144" s="67"/>
      <c r="V144" s="67"/>
      <c r="W144" s="67" t="str">
        <f>CONCATENATE("&lt;!-- ",U138," fin --&gt;")</f>
        <v>&lt;!--  fin --&gt;</v>
      </c>
      <c r="X144" s="82"/>
      <c r="Y144" t="s">
        <v>2</v>
      </c>
    </row>
    <row r="145" customFormat="1" ht="14.55" spans="1:23">
      <c r="A145" s="83"/>
      <c r="B145" s="69"/>
      <c r="C145" s="69"/>
      <c r="D145" s="84"/>
      <c r="E145" s="69"/>
      <c r="F145" s="67" t="str">
        <f>""</f>
        <v/>
      </c>
      <c r="I145" s="83"/>
      <c r="J145" s="69"/>
      <c r="K145" s="69"/>
      <c r="L145" s="84"/>
      <c r="M145" s="69"/>
      <c r="N145" s="67" t="str">
        <f>""</f>
        <v/>
      </c>
      <c r="R145" s="83"/>
      <c r="S145" s="69"/>
      <c r="T145" s="69"/>
      <c r="U145" s="84"/>
      <c r="V145" s="69"/>
      <c r="W145" s="67" t="str">
        <f>""</f>
        <v/>
      </c>
    </row>
    <row r="146" customFormat="1" spans="1:25">
      <c r="A146" s="83" t="s">
        <v>202</v>
      </c>
      <c r="B146" s="69"/>
      <c r="C146" s="69"/>
      <c r="D146" s="70"/>
      <c r="E146" s="69" t="s">
        <v>2</v>
      </c>
      <c r="F146" s="69" t="str">
        <f>CONCATENATE("&lt;!-- ",D146," --&gt;")</f>
        <v>&lt;!--  --&gt;</v>
      </c>
      <c r="G146" s="72"/>
      <c r="H146" t="s">
        <v>2</v>
      </c>
      <c r="I146" s="83" t="s">
        <v>202</v>
      </c>
      <c r="J146" s="69"/>
      <c r="K146" s="69"/>
      <c r="L146" s="70"/>
      <c r="M146" s="69"/>
      <c r="N146" s="69" t="str">
        <f>CONCATENATE("&lt;!-- ",L146," --&gt;")</f>
        <v>&lt;!--  --&gt;</v>
      </c>
      <c r="O146" s="72"/>
      <c r="R146" s="83" t="str">
        <f>I146</f>
        <v>Título 18</v>
      </c>
      <c r="S146" s="69"/>
      <c r="T146" s="69"/>
      <c r="U146" s="70"/>
      <c r="V146" s="69"/>
      <c r="W146" s="69" t="str">
        <f>CONCATENATE("&lt;!-- ",U146," --&gt;")</f>
        <v>&lt;!--  --&gt;</v>
      </c>
      <c r="X146" s="72"/>
      <c r="Y146" t="s">
        <v>2</v>
      </c>
    </row>
    <row r="147" customFormat="1" ht="14.4" spans="1:25">
      <c r="A147" s="73" t="s">
        <v>166</v>
      </c>
      <c r="B147" s="74" t="s">
        <v>167</v>
      </c>
      <c r="C147" s="75" t="s">
        <v>168</v>
      </c>
      <c r="F147" t="s">
        <v>90</v>
      </c>
      <c r="G147" s="77"/>
      <c r="I147" s="73" t="s">
        <v>166</v>
      </c>
      <c r="J147" s="74" t="s">
        <v>167</v>
      </c>
      <c r="K147" s="75" t="s">
        <v>168</v>
      </c>
      <c r="N147" t="str">
        <f>CONCATENATE(J147,L147,K147)</f>
        <v>&lt;div &gt;</v>
      </c>
      <c r="O147" s="77"/>
      <c r="R147" s="73" t="s">
        <v>166</v>
      </c>
      <c r="S147" s="74" t="s">
        <v>167</v>
      </c>
      <c r="T147" s="75" t="s">
        <v>168</v>
      </c>
      <c r="W147" t="str">
        <f>CONCATENATE(S147,U147,T147)</f>
        <v>&lt;div &gt;</v>
      </c>
      <c r="X147" s="77"/>
      <c r="Y147" t="s">
        <v>2</v>
      </c>
    </row>
    <row r="148" customFormat="1" spans="1:25">
      <c r="A148" s="73"/>
      <c r="D148" s="76"/>
      <c r="E148" t="str">
        <f>CONCATENATE("id=",Comillas,D148,Comillas)</f>
        <v>id=""</v>
      </c>
      <c r="F148" t="str">
        <f>CONCATENATE("&lt;h3 ",E148,"&gt;",D146,"&lt;/h3&gt;")</f>
        <v>&lt;h3 id=""&gt;&lt;/h3&gt;</v>
      </c>
      <c r="G148" s="77"/>
      <c r="H148" t="s">
        <v>2</v>
      </c>
      <c r="I148" s="73"/>
      <c r="N148" t="str">
        <f>CONCATENATE("&lt;h4&gt;",L146,"&lt;/h4&gt;")</f>
        <v>&lt;h4&gt;&lt;/h4&gt;</v>
      </c>
      <c r="O148" s="77"/>
      <c r="R148" s="73"/>
      <c r="W148" t="str">
        <f>CONCATENATE("&lt;h5&gt;",U146,"&lt;/h5&gt;")</f>
        <v>&lt;h5&gt;&lt;/h5&gt;</v>
      </c>
      <c r="X148" s="77"/>
      <c r="Y148" t="s">
        <v>2</v>
      </c>
    </row>
    <row r="149" customFormat="1" spans="1:25">
      <c r="A149" s="73"/>
      <c r="F149" t="str">
        <f>IF(D150&lt;&gt;"","&lt;p&gt;","")</f>
        <v/>
      </c>
      <c r="G149" s="77"/>
      <c r="H149" t="s">
        <v>2</v>
      </c>
      <c r="I149" s="73"/>
      <c r="N149" t="str">
        <f>IF(L150&lt;&gt;"","&lt;p&gt;","")</f>
        <v/>
      </c>
      <c r="O149" s="77"/>
      <c r="R149" s="73"/>
      <c r="W149" t="str">
        <f>IF(U150&lt;&gt;"","&lt;p&gt;","")</f>
        <v/>
      </c>
      <c r="X149" s="77"/>
      <c r="Y149" t="s">
        <v>2</v>
      </c>
    </row>
    <row r="150" customFormat="1" spans="1:25">
      <c r="A150" s="73" t="s">
        <v>171</v>
      </c>
      <c r="D150" s="76"/>
      <c r="E150" t="s">
        <v>2</v>
      </c>
      <c r="F150" t="str">
        <f>IF(D150&lt;&gt;"",D150,"")</f>
        <v/>
      </c>
      <c r="G150" s="77"/>
      <c r="H150" t="s">
        <v>2</v>
      </c>
      <c r="I150" s="73" t="s">
        <v>171</v>
      </c>
      <c r="L150" s="76"/>
      <c r="M150" t="s">
        <v>2</v>
      </c>
      <c r="N150" t="str">
        <f>IF(L150&lt;&gt;"",L150,"")</f>
        <v/>
      </c>
      <c r="O150" s="77"/>
      <c r="R150" s="73" t="s">
        <v>171</v>
      </c>
      <c r="U150" s="76"/>
      <c r="V150" t="s">
        <v>2</v>
      </c>
      <c r="W150" t="str">
        <f>IF(U150&lt;&gt;"",U150,"")</f>
        <v/>
      </c>
      <c r="X150" s="77"/>
      <c r="Y150" t="s">
        <v>2</v>
      </c>
    </row>
    <row r="151" customFormat="1" spans="1:25">
      <c r="A151" s="73"/>
      <c r="F151" t="s">
        <v>112</v>
      </c>
      <c r="G151" s="77"/>
      <c r="H151" t="s">
        <v>2</v>
      </c>
      <c r="I151" s="73"/>
      <c r="N151" t="s">
        <v>112</v>
      </c>
      <c r="O151" s="77"/>
      <c r="R151" s="73"/>
      <c r="W151" t="s">
        <v>112</v>
      </c>
      <c r="X151" s="77"/>
      <c r="Y151" t="s">
        <v>2</v>
      </c>
    </row>
    <row r="152" customFormat="1" ht="14.55" spans="1:25">
      <c r="A152" s="81"/>
      <c r="B152" s="67"/>
      <c r="C152" s="67"/>
      <c r="D152" s="67"/>
      <c r="E152" s="67"/>
      <c r="F152" s="67" t="str">
        <f>CONCATENATE("&lt;!-- ",D146," fin --&gt;")</f>
        <v>&lt;!--  fin --&gt;</v>
      </c>
      <c r="G152" s="82"/>
      <c r="H152" t="s">
        <v>2</v>
      </c>
      <c r="I152" s="81"/>
      <c r="J152" s="67"/>
      <c r="K152" s="67"/>
      <c r="L152" s="67"/>
      <c r="M152" s="67"/>
      <c r="N152" s="67" t="str">
        <f>CONCATENATE("&lt;!-- ",L146," fin --&gt;")</f>
        <v>&lt;!--  fin --&gt;</v>
      </c>
      <c r="O152" s="82"/>
      <c r="R152" s="81"/>
      <c r="S152" s="67"/>
      <c r="T152" s="67"/>
      <c r="U152" s="67"/>
      <c r="V152" s="67"/>
      <c r="W152" s="67" t="str">
        <f>CONCATENATE("&lt;!-- ",U146," fin --&gt;")</f>
        <v>&lt;!--  fin --&gt;</v>
      </c>
      <c r="X152" s="82"/>
      <c r="Y152" t="s">
        <v>2</v>
      </c>
    </row>
    <row r="153" ht="14.55" spans="1:23">
      <c r="A153" s="83"/>
      <c r="B153" s="69"/>
      <c r="C153" s="69"/>
      <c r="D153" s="84"/>
      <c r="E153" s="69"/>
      <c r="F153" s="67" t="str">
        <f>""</f>
        <v/>
      </c>
      <c r="I153" s="83"/>
      <c r="J153" s="69"/>
      <c r="K153" s="69"/>
      <c r="L153" s="84"/>
      <c r="M153" s="69"/>
      <c r="N153" s="67" t="str">
        <f>""</f>
        <v/>
      </c>
      <c r="R153" s="83"/>
      <c r="S153" s="69"/>
      <c r="T153" s="69"/>
      <c r="U153" s="84"/>
      <c r="V153" s="69"/>
      <c r="W153" s="67" t="str">
        <f>""</f>
        <v/>
      </c>
    </row>
    <row r="154" spans="1:25">
      <c r="A154" s="83" t="s">
        <v>203</v>
      </c>
      <c r="B154" s="69"/>
      <c r="C154" s="69"/>
      <c r="D154" s="70"/>
      <c r="E154" s="69" t="s">
        <v>2</v>
      </c>
      <c r="F154" s="69" t="str">
        <f>CONCATENATE("&lt;!-- ",D154," --&gt;")</f>
        <v>&lt;!--  --&gt;</v>
      </c>
      <c r="G154" s="72"/>
      <c r="H154" t="s">
        <v>2</v>
      </c>
      <c r="I154" s="83" t="s">
        <v>203</v>
      </c>
      <c r="J154" s="69"/>
      <c r="K154" s="69"/>
      <c r="L154" s="70"/>
      <c r="M154" s="69"/>
      <c r="N154" s="69" t="str">
        <f>CONCATENATE("&lt;!-- ",L154," --&gt;")</f>
        <v>&lt;!--  --&gt;</v>
      </c>
      <c r="O154" s="72"/>
      <c r="R154" s="83" t="str">
        <f>I154</f>
        <v>Título 19</v>
      </c>
      <c r="S154" s="69"/>
      <c r="T154" s="69"/>
      <c r="U154" s="70"/>
      <c r="V154" s="69"/>
      <c r="W154" s="69" t="str">
        <f>CONCATENATE("&lt;!-- ",U154," --&gt;")</f>
        <v>&lt;!--  --&gt;</v>
      </c>
      <c r="X154" s="72"/>
      <c r="Y154" t="s">
        <v>2</v>
      </c>
    </row>
    <row r="155" ht="14.4" spans="1:25">
      <c r="A155" s="73" t="s">
        <v>166</v>
      </c>
      <c r="B155" s="74" t="s">
        <v>167</v>
      </c>
      <c r="C155" s="75" t="s">
        <v>168</v>
      </c>
      <c r="F155" t="s">
        <v>90</v>
      </c>
      <c r="G155" s="77"/>
      <c r="I155" s="73" t="s">
        <v>166</v>
      </c>
      <c r="J155" s="74" t="s">
        <v>167</v>
      </c>
      <c r="K155" s="75" t="s">
        <v>168</v>
      </c>
      <c r="N155" t="str">
        <f>CONCATENATE(J155,L155,K155)</f>
        <v>&lt;div &gt;</v>
      </c>
      <c r="O155" s="77"/>
      <c r="R155" s="73" t="s">
        <v>166</v>
      </c>
      <c r="S155" s="74" t="s">
        <v>167</v>
      </c>
      <c r="T155" s="75" t="s">
        <v>168</v>
      </c>
      <c r="W155" t="str">
        <f>CONCATENATE(S155,U155,T155)</f>
        <v>&lt;div &gt;</v>
      </c>
      <c r="X155" s="77"/>
      <c r="Y155" t="s">
        <v>2</v>
      </c>
    </row>
    <row r="156" spans="1:25">
      <c r="A156" s="73"/>
      <c r="D156" s="76"/>
      <c r="E156" t="str">
        <f>CONCATENATE("id=",Comillas,D156,Comillas)</f>
        <v>id=""</v>
      </c>
      <c r="F156" t="str">
        <f>CONCATENATE("&lt;h3 ",E156,"&gt;",D154,"&lt;/h3&gt;")</f>
        <v>&lt;h3 id=""&gt;&lt;/h3&gt;</v>
      </c>
      <c r="G156" s="77"/>
      <c r="H156" t="s">
        <v>2</v>
      </c>
      <c r="I156" s="73"/>
      <c r="N156" t="str">
        <f>CONCATENATE("&lt;h4&gt;",L154,"&lt;/h4&gt;")</f>
        <v>&lt;h4&gt;&lt;/h4&gt;</v>
      </c>
      <c r="O156" s="77"/>
      <c r="R156" s="73"/>
      <c r="W156" t="str">
        <f>CONCATENATE("&lt;h5&gt;",U154,"&lt;/h5&gt;")</f>
        <v>&lt;h5&gt;&lt;/h5&gt;</v>
      </c>
      <c r="X156" s="77"/>
      <c r="Y156" t="s">
        <v>2</v>
      </c>
    </row>
    <row r="157" spans="1:25">
      <c r="A157" s="73"/>
      <c r="F157" t="str">
        <f>IF(D158&lt;&gt;"","&lt;p&gt;","")</f>
        <v/>
      </c>
      <c r="G157" s="77"/>
      <c r="H157" t="s">
        <v>2</v>
      </c>
      <c r="I157" s="73"/>
      <c r="N157" t="str">
        <f>IF(L158&lt;&gt;"","&lt;p&gt;","")</f>
        <v/>
      </c>
      <c r="O157" s="77"/>
      <c r="R157" s="73"/>
      <c r="W157" t="str">
        <f>IF(U158&lt;&gt;"","&lt;p&gt;","")</f>
        <v/>
      </c>
      <c r="X157" s="77"/>
      <c r="Y157" t="s">
        <v>2</v>
      </c>
    </row>
    <row r="158" spans="1:25">
      <c r="A158" s="73" t="s">
        <v>171</v>
      </c>
      <c r="D158" s="76"/>
      <c r="E158" t="s">
        <v>2</v>
      </c>
      <c r="F158" t="str">
        <f>IF(D158&lt;&gt;"",D158,"")</f>
        <v/>
      </c>
      <c r="G158" s="77"/>
      <c r="H158" t="s">
        <v>2</v>
      </c>
      <c r="I158" s="73" t="s">
        <v>171</v>
      </c>
      <c r="L158" s="76"/>
      <c r="M158" t="s">
        <v>2</v>
      </c>
      <c r="N158" t="str">
        <f>IF(L158&lt;&gt;"",L158,"")</f>
        <v/>
      </c>
      <c r="O158" s="77"/>
      <c r="R158" s="73" t="s">
        <v>171</v>
      </c>
      <c r="U158" s="76"/>
      <c r="V158" t="s">
        <v>2</v>
      </c>
      <c r="W158" t="str">
        <f>IF(U158&lt;&gt;"",U158,"")</f>
        <v/>
      </c>
      <c r="X158" s="77"/>
      <c r="Y158" t="s">
        <v>2</v>
      </c>
    </row>
    <row r="159" spans="1:25">
      <c r="A159" s="73"/>
      <c r="F159" t="s">
        <v>112</v>
      </c>
      <c r="G159" s="77"/>
      <c r="H159" t="s">
        <v>2</v>
      </c>
      <c r="I159" s="73"/>
      <c r="N159" t="s">
        <v>112</v>
      </c>
      <c r="O159" s="77"/>
      <c r="R159" s="73"/>
      <c r="W159" t="s">
        <v>112</v>
      </c>
      <c r="X159" s="77"/>
      <c r="Y159" t="s">
        <v>2</v>
      </c>
    </row>
    <row r="160" ht="14.55" spans="1:25">
      <c r="A160" s="81"/>
      <c r="B160" s="67"/>
      <c r="C160" s="67"/>
      <c r="D160" s="67"/>
      <c r="E160" s="67"/>
      <c r="F160" s="67" t="str">
        <f>CONCATENATE("&lt;!-- ",D154," fin --&gt;")</f>
        <v>&lt;!--  fin --&gt;</v>
      </c>
      <c r="G160" s="82"/>
      <c r="H160" t="s">
        <v>2</v>
      </c>
      <c r="I160" s="81"/>
      <c r="J160" s="67"/>
      <c r="K160" s="67"/>
      <c r="L160" s="67"/>
      <c r="M160" s="67"/>
      <c r="N160" s="67" t="str">
        <f>CONCATENATE("&lt;!-- ",L154," fin --&gt;")</f>
        <v>&lt;!--  fin --&gt;</v>
      </c>
      <c r="O160" s="82"/>
      <c r="R160" s="81"/>
      <c r="S160" s="67"/>
      <c r="T160" s="67"/>
      <c r="U160" s="67"/>
      <c r="V160" s="67"/>
      <c r="W160" s="67" t="str">
        <f>CONCATENATE("&lt;!-- ",U154," fin --&gt;")</f>
        <v>&lt;!--  fin --&gt;</v>
      </c>
      <c r="X160" s="82"/>
      <c r="Y160" t="s">
        <v>2</v>
      </c>
    </row>
    <row r="161" ht="14.55" spans="1:23">
      <c r="A161" s="83"/>
      <c r="B161" s="69"/>
      <c r="C161" s="69"/>
      <c r="D161" s="84"/>
      <c r="E161" s="69"/>
      <c r="F161" s="67" t="str">
        <f>""</f>
        <v/>
      </c>
      <c r="I161" s="83"/>
      <c r="J161" s="69"/>
      <c r="K161" s="69"/>
      <c r="L161" s="84"/>
      <c r="M161" s="69"/>
      <c r="N161" s="67" t="str">
        <f>""</f>
        <v/>
      </c>
      <c r="R161" s="83"/>
      <c r="S161" s="69"/>
      <c r="T161" s="69"/>
      <c r="U161" s="84"/>
      <c r="V161" s="69"/>
      <c r="W161" s="67" t="str">
        <f>""</f>
        <v/>
      </c>
    </row>
    <row r="162" spans="1:25">
      <c r="A162" s="83" t="s">
        <v>204</v>
      </c>
      <c r="B162" s="69"/>
      <c r="C162" s="69"/>
      <c r="D162" s="70"/>
      <c r="E162" s="69" t="s">
        <v>2</v>
      </c>
      <c r="F162" s="69" t="str">
        <f>CONCATENATE("&lt;!-- ",D162," --&gt;")</f>
        <v>&lt;!--  --&gt;</v>
      </c>
      <c r="G162" s="72"/>
      <c r="H162" t="s">
        <v>2</v>
      </c>
      <c r="I162" s="83" t="s">
        <v>204</v>
      </c>
      <c r="J162" s="69"/>
      <c r="K162" s="69"/>
      <c r="L162" s="70"/>
      <c r="M162" s="69"/>
      <c r="N162" s="69" t="str">
        <f>CONCATENATE("&lt;!-- ",L162," --&gt;")</f>
        <v>&lt;!--  --&gt;</v>
      </c>
      <c r="O162" s="72"/>
      <c r="R162" s="83" t="str">
        <f>I162</f>
        <v>Título 20</v>
      </c>
      <c r="S162" s="69"/>
      <c r="T162" s="69"/>
      <c r="U162" s="70"/>
      <c r="V162" s="69"/>
      <c r="W162" s="69" t="str">
        <f>CONCATENATE("&lt;!-- ",U162," --&gt;")</f>
        <v>&lt;!--  --&gt;</v>
      </c>
      <c r="X162" s="72"/>
      <c r="Y162" t="s">
        <v>2</v>
      </c>
    </row>
    <row r="163" ht="14.4" spans="1:25">
      <c r="A163" s="73" t="s">
        <v>166</v>
      </c>
      <c r="B163" s="74" t="s">
        <v>167</v>
      </c>
      <c r="C163" s="75" t="s">
        <v>168</v>
      </c>
      <c r="F163" t="s">
        <v>90</v>
      </c>
      <c r="G163" s="77"/>
      <c r="I163" s="73" t="s">
        <v>166</v>
      </c>
      <c r="J163" s="74" t="s">
        <v>167</v>
      </c>
      <c r="K163" s="75" t="s">
        <v>168</v>
      </c>
      <c r="N163" t="str">
        <f>CONCATENATE(J163,L163,K163)</f>
        <v>&lt;div &gt;</v>
      </c>
      <c r="O163" s="77"/>
      <c r="R163" s="73" t="s">
        <v>166</v>
      </c>
      <c r="S163" s="74" t="s">
        <v>167</v>
      </c>
      <c r="T163" s="75" t="s">
        <v>168</v>
      </c>
      <c r="W163" t="str">
        <f>CONCATENATE(S163,U163,T163)</f>
        <v>&lt;div &gt;</v>
      </c>
      <c r="X163" s="77"/>
      <c r="Y163" t="s">
        <v>2</v>
      </c>
    </row>
    <row r="164" spans="1:25">
      <c r="A164" s="73"/>
      <c r="D164" s="76"/>
      <c r="E164" t="str">
        <f>CONCATENATE("id=",Comillas,D164,Comillas)</f>
        <v>id=""</v>
      </c>
      <c r="F164" t="str">
        <f>CONCATENATE("&lt;h3 ",E164,"&gt;",D162,"&lt;/h3&gt;")</f>
        <v>&lt;h3 id=""&gt;&lt;/h3&gt;</v>
      </c>
      <c r="G164" s="77"/>
      <c r="H164" t="s">
        <v>2</v>
      </c>
      <c r="I164" s="73"/>
      <c r="N164" t="str">
        <f>CONCATENATE("&lt;h4&gt;",L162,"&lt;/h4&gt;")</f>
        <v>&lt;h4&gt;&lt;/h4&gt;</v>
      </c>
      <c r="O164" s="77"/>
      <c r="R164" s="73"/>
      <c r="W164" t="str">
        <f>CONCATENATE("&lt;h5&gt;",U162,"&lt;/h5&gt;")</f>
        <v>&lt;h5&gt;&lt;/h5&gt;</v>
      </c>
      <c r="X164" s="77"/>
      <c r="Y164" t="s">
        <v>2</v>
      </c>
    </row>
    <row r="165" spans="1:25">
      <c r="A165" s="73"/>
      <c r="F165" t="str">
        <f>IF(D166&lt;&gt;"","&lt;p&gt;","")</f>
        <v/>
      </c>
      <c r="G165" s="77"/>
      <c r="H165" t="s">
        <v>2</v>
      </c>
      <c r="I165" s="73"/>
      <c r="N165" t="str">
        <f>IF(L166&lt;&gt;"","&lt;p&gt;","")</f>
        <v/>
      </c>
      <c r="O165" s="77"/>
      <c r="R165" s="73"/>
      <c r="W165" t="str">
        <f>IF(U166&lt;&gt;"","&lt;p&gt;","")</f>
        <v/>
      </c>
      <c r="X165" s="77"/>
      <c r="Y165" t="s">
        <v>2</v>
      </c>
    </row>
    <row r="166" spans="1:25">
      <c r="A166" s="73" t="s">
        <v>171</v>
      </c>
      <c r="D166" s="76"/>
      <c r="E166" t="s">
        <v>2</v>
      </c>
      <c r="F166" t="str">
        <f>IF(D166&lt;&gt;"",D166,"")</f>
        <v/>
      </c>
      <c r="G166" s="77"/>
      <c r="H166" t="s">
        <v>2</v>
      </c>
      <c r="I166" s="73" t="s">
        <v>171</v>
      </c>
      <c r="L166" s="76"/>
      <c r="M166" t="s">
        <v>2</v>
      </c>
      <c r="N166" t="str">
        <f>IF(L166&lt;&gt;"",L166,"")</f>
        <v/>
      </c>
      <c r="O166" s="77"/>
      <c r="R166" s="73" t="s">
        <v>171</v>
      </c>
      <c r="U166" s="76"/>
      <c r="V166" t="s">
        <v>2</v>
      </c>
      <c r="W166" t="str">
        <f>IF(U166&lt;&gt;"",U166,"")</f>
        <v/>
      </c>
      <c r="X166" s="77"/>
      <c r="Y166" t="s">
        <v>2</v>
      </c>
    </row>
    <row r="167" spans="1:25">
      <c r="A167" s="73"/>
      <c r="F167" t="s">
        <v>112</v>
      </c>
      <c r="G167" s="77"/>
      <c r="H167" t="s">
        <v>2</v>
      </c>
      <c r="I167" s="73"/>
      <c r="N167" t="s">
        <v>112</v>
      </c>
      <c r="O167" s="77"/>
      <c r="R167" s="73"/>
      <c r="W167" t="s">
        <v>112</v>
      </c>
      <c r="X167" s="77"/>
      <c r="Y167" t="s">
        <v>2</v>
      </c>
    </row>
    <row r="168" ht="14.55" spans="1:25">
      <c r="A168" s="81"/>
      <c r="B168" s="67"/>
      <c r="C168" s="67"/>
      <c r="D168" s="67"/>
      <c r="E168" s="67"/>
      <c r="F168" s="67" t="str">
        <f>CONCATENATE("&lt;!-- ",D162," fin --&gt;")</f>
        <v>&lt;!--  fin --&gt;</v>
      </c>
      <c r="G168" s="82"/>
      <c r="H168" t="s">
        <v>2</v>
      </c>
      <c r="I168" s="81"/>
      <c r="J168" s="67"/>
      <c r="K168" s="67"/>
      <c r="L168" s="67"/>
      <c r="M168" s="67"/>
      <c r="N168" s="67" t="str">
        <f>CONCATENATE("&lt;!-- ",L162," fin --&gt;")</f>
        <v>&lt;!--  fin --&gt;</v>
      </c>
      <c r="O168" s="82"/>
      <c r="R168" s="81"/>
      <c r="S168" s="67"/>
      <c r="T168" s="67"/>
      <c r="U168" s="67"/>
      <c r="V168" s="67"/>
      <c r="W168" s="67" t="str">
        <f>CONCATENATE("&lt;!-- ",U162," fin --&gt;")</f>
        <v>&lt;!--  fin --&gt;</v>
      </c>
      <c r="X168" s="82"/>
      <c r="Y168" t="s">
        <v>2</v>
      </c>
    </row>
    <row r="169" ht="14.55" spans="1:23">
      <c r="A169" s="83"/>
      <c r="B169" s="69"/>
      <c r="C169" s="69"/>
      <c r="D169" s="84"/>
      <c r="E169" s="69"/>
      <c r="F169" s="67" t="str">
        <f>""</f>
        <v/>
      </c>
      <c r="I169" s="83"/>
      <c r="J169" s="69"/>
      <c r="K169" s="69"/>
      <c r="L169" s="84"/>
      <c r="M169" s="69"/>
      <c r="N169" s="67" t="str">
        <f>""</f>
        <v/>
      </c>
      <c r="R169" s="83"/>
      <c r="S169" s="69"/>
      <c r="T169" s="69"/>
      <c r="U169" s="84"/>
      <c r="V169" s="69"/>
      <c r="W169" s="67" t="str">
        <f>""</f>
        <v/>
      </c>
    </row>
    <row r="170" spans="1:25">
      <c r="A170" s="83" t="s">
        <v>205</v>
      </c>
      <c r="B170" s="69"/>
      <c r="C170" s="69"/>
      <c r="D170" s="70"/>
      <c r="E170" s="69" t="s">
        <v>2</v>
      </c>
      <c r="F170" s="69" t="str">
        <f>CONCATENATE("&lt;!-- ",D170," --&gt;")</f>
        <v>&lt;!--  --&gt;</v>
      </c>
      <c r="G170" s="72"/>
      <c r="H170" t="s">
        <v>2</v>
      </c>
      <c r="I170" s="83" t="s">
        <v>205</v>
      </c>
      <c r="J170" s="69"/>
      <c r="K170" s="69"/>
      <c r="L170" s="70"/>
      <c r="M170" s="69"/>
      <c r="N170" s="69" t="str">
        <f>CONCATENATE("&lt;!-- ",L170," --&gt;")</f>
        <v>&lt;!--  --&gt;</v>
      </c>
      <c r="O170" s="72"/>
      <c r="R170" s="83" t="str">
        <f>I170</f>
        <v>Título 21</v>
      </c>
      <c r="S170" s="69"/>
      <c r="T170" s="69"/>
      <c r="U170" s="70"/>
      <c r="V170" s="69"/>
      <c r="W170" s="69" t="str">
        <f>CONCATENATE("&lt;!-- ",U170," --&gt;")</f>
        <v>&lt;!--  --&gt;</v>
      </c>
      <c r="X170" s="72"/>
      <c r="Y170" t="s">
        <v>2</v>
      </c>
    </row>
    <row r="171" ht="14.4" spans="1:25">
      <c r="A171" s="73" t="s">
        <v>166</v>
      </c>
      <c r="B171" s="74" t="s">
        <v>167</v>
      </c>
      <c r="C171" s="75" t="s">
        <v>168</v>
      </c>
      <c r="F171" t="s">
        <v>90</v>
      </c>
      <c r="G171" s="77"/>
      <c r="I171" s="73" t="s">
        <v>166</v>
      </c>
      <c r="J171" s="74" t="s">
        <v>167</v>
      </c>
      <c r="K171" s="75" t="s">
        <v>168</v>
      </c>
      <c r="N171" t="str">
        <f>CONCATENATE(J171,L171,K171)</f>
        <v>&lt;div &gt;</v>
      </c>
      <c r="O171" s="77"/>
      <c r="R171" s="73" t="s">
        <v>166</v>
      </c>
      <c r="S171" s="74" t="s">
        <v>167</v>
      </c>
      <c r="T171" s="75" t="s">
        <v>168</v>
      </c>
      <c r="W171" t="str">
        <f>CONCATENATE(S171,U171,T171)</f>
        <v>&lt;div &gt;</v>
      </c>
      <c r="X171" s="77"/>
      <c r="Y171" t="s">
        <v>2</v>
      </c>
    </row>
    <row r="172" spans="1:25">
      <c r="A172" s="73"/>
      <c r="D172" s="76"/>
      <c r="E172" t="str">
        <f>CONCATENATE("id=",Comillas,D172,Comillas)</f>
        <v>id=""</v>
      </c>
      <c r="F172" t="str">
        <f>CONCATENATE("&lt;h3 ",E172,"&gt;",D170,"&lt;/h3&gt;")</f>
        <v>&lt;h3 id=""&gt;&lt;/h3&gt;</v>
      </c>
      <c r="G172" s="77"/>
      <c r="H172" t="s">
        <v>2</v>
      </c>
      <c r="I172" s="73"/>
      <c r="N172" t="str">
        <f>CONCATENATE("&lt;h4&gt;",L170,"&lt;/h4&gt;")</f>
        <v>&lt;h4&gt;&lt;/h4&gt;</v>
      </c>
      <c r="O172" s="77"/>
      <c r="R172" s="73"/>
      <c r="W172" t="str">
        <f>CONCATENATE("&lt;h5&gt;",U170,"&lt;/h5&gt;")</f>
        <v>&lt;h5&gt;&lt;/h5&gt;</v>
      </c>
      <c r="X172" s="77"/>
      <c r="Y172" t="s">
        <v>2</v>
      </c>
    </row>
    <row r="173" spans="1:25">
      <c r="A173" s="73"/>
      <c r="F173" t="str">
        <f>IF(D174&lt;&gt;"","&lt;p&gt;","")</f>
        <v/>
      </c>
      <c r="G173" s="77"/>
      <c r="H173" t="s">
        <v>2</v>
      </c>
      <c r="I173" s="73"/>
      <c r="N173" t="str">
        <f>IF(L174&lt;&gt;"","&lt;p&gt;","")</f>
        <v/>
      </c>
      <c r="O173" s="77"/>
      <c r="R173" s="73"/>
      <c r="W173" t="str">
        <f>IF(U174&lt;&gt;"","&lt;p&gt;","")</f>
        <v/>
      </c>
      <c r="X173" s="77"/>
      <c r="Y173" t="s">
        <v>2</v>
      </c>
    </row>
    <row r="174" spans="1:25">
      <c r="A174" s="73" t="s">
        <v>171</v>
      </c>
      <c r="D174" s="76"/>
      <c r="E174" t="s">
        <v>2</v>
      </c>
      <c r="F174" t="str">
        <f>IF(D174&lt;&gt;"",D174,"")</f>
        <v/>
      </c>
      <c r="G174" s="77"/>
      <c r="H174" t="s">
        <v>2</v>
      </c>
      <c r="I174" s="73" t="s">
        <v>171</v>
      </c>
      <c r="L174" s="76"/>
      <c r="M174" t="s">
        <v>2</v>
      </c>
      <c r="N174" t="str">
        <f>IF(L174&lt;&gt;"",L174,"")</f>
        <v/>
      </c>
      <c r="O174" s="77"/>
      <c r="R174" s="73" t="s">
        <v>171</v>
      </c>
      <c r="U174" s="76"/>
      <c r="V174" t="s">
        <v>2</v>
      </c>
      <c r="W174" t="str">
        <f>IF(U174&lt;&gt;"",U174,"")</f>
        <v/>
      </c>
      <c r="X174" s="77"/>
      <c r="Y174" t="s">
        <v>2</v>
      </c>
    </row>
    <row r="175" spans="1:25">
      <c r="A175" s="73"/>
      <c r="F175" t="s">
        <v>112</v>
      </c>
      <c r="G175" s="77"/>
      <c r="H175" t="s">
        <v>2</v>
      </c>
      <c r="I175" s="73"/>
      <c r="N175" t="s">
        <v>112</v>
      </c>
      <c r="O175" s="77"/>
      <c r="R175" s="73"/>
      <c r="W175" t="s">
        <v>112</v>
      </c>
      <c r="X175" s="77"/>
      <c r="Y175" t="s">
        <v>2</v>
      </c>
    </row>
    <row r="176" ht="14.55" spans="1:25">
      <c r="A176" s="81"/>
      <c r="B176" s="67"/>
      <c r="C176" s="67"/>
      <c r="D176" s="67"/>
      <c r="E176" s="67"/>
      <c r="F176" s="67" t="str">
        <f>CONCATENATE("&lt;!-- ",D170," fin --&gt;")</f>
        <v>&lt;!--  fin --&gt;</v>
      </c>
      <c r="G176" s="82"/>
      <c r="H176" t="s">
        <v>2</v>
      </c>
      <c r="I176" s="81"/>
      <c r="J176" s="67"/>
      <c r="K176" s="67"/>
      <c r="L176" s="67"/>
      <c r="M176" s="67"/>
      <c r="N176" s="67" t="str">
        <f>CONCATENATE("&lt;!-- ",L170," fin --&gt;")</f>
        <v>&lt;!--  fin --&gt;</v>
      </c>
      <c r="O176" s="82"/>
      <c r="R176" s="81"/>
      <c r="S176" s="67"/>
      <c r="T176" s="67"/>
      <c r="U176" s="67"/>
      <c r="V176" s="67"/>
      <c r="W176" s="67" t="str">
        <f>CONCATENATE("&lt;!-- ",U170," fin --&gt;")</f>
        <v>&lt;!--  fin --&gt;</v>
      </c>
      <c r="X176" s="82"/>
      <c r="Y176" t="s">
        <v>2</v>
      </c>
    </row>
    <row r="177" ht="14.55" spans="1:23">
      <c r="A177" s="83"/>
      <c r="B177" s="69"/>
      <c r="C177" s="69"/>
      <c r="D177" s="84"/>
      <c r="E177" s="69"/>
      <c r="F177" s="67" t="str">
        <f>""</f>
        <v/>
      </c>
      <c r="I177" s="83"/>
      <c r="J177" s="69"/>
      <c r="K177" s="69"/>
      <c r="L177" s="84"/>
      <c r="M177" s="69"/>
      <c r="N177" s="67" t="str">
        <f>""</f>
        <v/>
      </c>
      <c r="R177" s="83"/>
      <c r="S177" s="69"/>
      <c r="T177" s="69"/>
      <c r="U177" s="84"/>
      <c r="V177" s="69"/>
      <c r="W177" s="67" t="str">
        <f>""</f>
        <v/>
      </c>
    </row>
    <row r="178" spans="1:25">
      <c r="A178" s="83" t="s">
        <v>206</v>
      </c>
      <c r="B178" s="69"/>
      <c r="C178" s="69"/>
      <c r="D178" s="70"/>
      <c r="E178" s="69" t="s">
        <v>2</v>
      </c>
      <c r="F178" s="69" t="str">
        <f>CONCATENATE("&lt;!-- ",D178," --&gt;")</f>
        <v>&lt;!--  --&gt;</v>
      </c>
      <c r="G178" s="72"/>
      <c r="H178" t="s">
        <v>2</v>
      </c>
      <c r="I178" s="83" t="s">
        <v>206</v>
      </c>
      <c r="J178" s="69"/>
      <c r="K178" s="69"/>
      <c r="L178" s="70"/>
      <c r="M178" s="69"/>
      <c r="N178" s="69" t="str">
        <f>CONCATENATE("&lt;!-- ",L178," --&gt;")</f>
        <v>&lt;!--  --&gt;</v>
      </c>
      <c r="O178" s="72"/>
      <c r="R178" s="83" t="str">
        <f>I178</f>
        <v>Título 22</v>
      </c>
      <c r="S178" s="69"/>
      <c r="T178" s="69"/>
      <c r="U178" s="70"/>
      <c r="V178" s="69"/>
      <c r="W178" s="69" t="str">
        <f>CONCATENATE("&lt;!-- ",U178," --&gt;")</f>
        <v>&lt;!--  --&gt;</v>
      </c>
      <c r="X178" s="72"/>
      <c r="Y178" t="s">
        <v>2</v>
      </c>
    </row>
    <row r="179" ht="14.4" spans="1:25">
      <c r="A179" s="73" t="s">
        <v>166</v>
      </c>
      <c r="B179" s="74" t="s">
        <v>167</v>
      </c>
      <c r="C179" s="75" t="s">
        <v>168</v>
      </c>
      <c r="F179" t="s">
        <v>90</v>
      </c>
      <c r="G179" s="77"/>
      <c r="I179" s="73" t="s">
        <v>166</v>
      </c>
      <c r="J179" s="74" t="s">
        <v>167</v>
      </c>
      <c r="K179" s="75" t="s">
        <v>168</v>
      </c>
      <c r="N179" t="str">
        <f>CONCATENATE(J179,L179,K179)</f>
        <v>&lt;div &gt;</v>
      </c>
      <c r="O179" s="77"/>
      <c r="R179" s="73" t="s">
        <v>166</v>
      </c>
      <c r="S179" s="74" t="s">
        <v>167</v>
      </c>
      <c r="T179" s="75" t="s">
        <v>168</v>
      </c>
      <c r="W179" t="str">
        <f>CONCATENATE(S179,U179,T179)</f>
        <v>&lt;div &gt;</v>
      </c>
      <c r="X179" s="77"/>
      <c r="Y179" t="s">
        <v>2</v>
      </c>
    </row>
    <row r="180" spans="1:25">
      <c r="A180" s="73"/>
      <c r="D180" s="76"/>
      <c r="E180" t="str">
        <f>CONCATENATE("id=",Comillas,D180,Comillas)</f>
        <v>id=""</v>
      </c>
      <c r="F180" t="str">
        <f>CONCATENATE("&lt;h3 ",E180,"&gt;",D178,"&lt;/h3&gt;")</f>
        <v>&lt;h3 id=""&gt;&lt;/h3&gt;</v>
      </c>
      <c r="G180" s="77"/>
      <c r="H180" t="s">
        <v>2</v>
      </c>
      <c r="I180" s="73"/>
      <c r="N180" t="str">
        <f>CONCATENATE("&lt;h4&gt;",L178,"&lt;/h4&gt;")</f>
        <v>&lt;h4&gt;&lt;/h4&gt;</v>
      </c>
      <c r="O180" s="77"/>
      <c r="R180" s="73"/>
      <c r="W180" t="str">
        <f>CONCATENATE("&lt;h5&gt;",U178,"&lt;/h5&gt;")</f>
        <v>&lt;h5&gt;&lt;/h5&gt;</v>
      </c>
      <c r="X180" s="77"/>
      <c r="Y180" t="s">
        <v>2</v>
      </c>
    </row>
    <row r="181" spans="1:25">
      <c r="A181" s="73"/>
      <c r="F181" t="str">
        <f>IF(D182&lt;&gt;"","&lt;p&gt;","")</f>
        <v/>
      </c>
      <c r="G181" s="77"/>
      <c r="H181" t="s">
        <v>2</v>
      </c>
      <c r="I181" s="73"/>
      <c r="N181" t="str">
        <f>IF(L182&lt;&gt;"","&lt;p&gt;","")</f>
        <v/>
      </c>
      <c r="O181" s="77"/>
      <c r="R181" s="73"/>
      <c r="W181" t="str">
        <f>IF(U182&lt;&gt;"","&lt;p&gt;","")</f>
        <v/>
      </c>
      <c r="X181" s="77"/>
      <c r="Y181" t="s">
        <v>2</v>
      </c>
    </row>
    <row r="182" spans="1:25">
      <c r="A182" s="73" t="s">
        <v>171</v>
      </c>
      <c r="D182" s="76"/>
      <c r="E182" t="s">
        <v>2</v>
      </c>
      <c r="F182" t="str">
        <f>IF(D182&lt;&gt;"",D182,"")</f>
        <v/>
      </c>
      <c r="G182" s="77"/>
      <c r="H182" t="s">
        <v>2</v>
      </c>
      <c r="I182" s="73" t="s">
        <v>171</v>
      </c>
      <c r="L182" s="76"/>
      <c r="M182" t="s">
        <v>2</v>
      </c>
      <c r="N182" t="str">
        <f>IF(L182&lt;&gt;"",L182,"")</f>
        <v/>
      </c>
      <c r="O182" s="77"/>
      <c r="R182" s="73" t="s">
        <v>171</v>
      </c>
      <c r="U182" s="76"/>
      <c r="V182" t="s">
        <v>2</v>
      </c>
      <c r="W182" t="str">
        <f>IF(U182&lt;&gt;"",U182,"")</f>
        <v/>
      </c>
      <c r="X182" s="77"/>
      <c r="Y182" t="s">
        <v>2</v>
      </c>
    </row>
    <row r="183" spans="1:25">
      <c r="A183" s="73"/>
      <c r="F183" t="s">
        <v>112</v>
      </c>
      <c r="G183" s="77"/>
      <c r="H183" t="s">
        <v>2</v>
      </c>
      <c r="I183" s="73"/>
      <c r="N183" t="s">
        <v>112</v>
      </c>
      <c r="O183" s="77"/>
      <c r="R183" s="73"/>
      <c r="W183" t="s">
        <v>112</v>
      </c>
      <c r="X183" s="77"/>
      <c r="Y183" t="s">
        <v>2</v>
      </c>
    </row>
    <row r="184" ht="14.55" spans="1:25">
      <c r="A184" s="81"/>
      <c r="B184" s="67"/>
      <c r="C184" s="67"/>
      <c r="D184" s="67"/>
      <c r="E184" s="67"/>
      <c r="F184" s="67" t="str">
        <f>CONCATENATE("&lt;!-- ",D178," fin --&gt;")</f>
        <v>&lt;!--  fin --&gt;</v>
      </c>
      <c r="G184" s="82"/>
      <c r="H184" t="s">
        <v>2</v>
      </c>
      <c r="I184" s="81"/>
      <c r="J184" s="67"/>
      <c r="K184" s="67"/>
      <c r="L184" s="67"/>
      <c r="M184" s="67"/>
      <c r="N184" s="67" t="str">
        <f>CONCATENATE("&lt;!-- ",L178," fin --&gt;")</f>
        <v>&lt;!--  fin --&gt;</v>
      </c>
      <c r="O184" s="82"/>
      <c r="R184" s="81"/>
      <c r="S184" s="67"/>
      <c r="T184" s="67"/>
      <c r="U184" s="67"/>
      <c r="V184" s="67"/>
      <c r="W184" s="67" t="str">
        <f>CONCATENATE("&lt;!-- ",U178," fin --&gt;")</f>
        <v>&lt;!--  fin --&gt;</v>
      </c>
      <c r="X184" s="82"/>
      <c r="Y184" t="s">
        <v>2</v>
      </c>
    </row>
    <row r="185" ht="14.55" spans="4:23">
      <c r="D185" s="84"/>
      <c r="E185" s="69"/>
      <c r="F185" s="67" t="str">
        <f>""</f>
        <v/>
      </c>
      <c r="R185" s="83"/>
      <c r="S185" s="69"/>
      <c r="T185" s="69"/>
      <c r="U185" s="84"/>
      <c r="V185" s="69"/>
      <c r="W185" s="67" t="str">
        <f>""</f>
        <v/>
      </c>
    </row>
    <row r="186" spans="1:25">
      <c r="A186" s="83" t="s">
        <v>197</v>
      </c>
      <c r="B186" s="69"/>
      <c r="C186" s="69"/>
      <c r="D186" s="70"/>
      <c r="E186" s="69" t="s">
        <v>2</v>
      </c>
      <c r="F186" s="69" t="str">
        <f>CONCATENATE("&lt;!-- ",D186," --&gt;")</f>
        <v>&lt;!--  --&gt;</v>
      </c>
      <c r="G186" s="72"/>
      <c r="H186" t="s">
        <v>2</v>
      </c>
      <c r="I186" s="83" t="s">
        <v>197</v>
      </c>
      <c r="J186" s="69"/>
      <c r="K186" s="69"/>
      <c r="L186" s="70"/>
      <c r="M186" s="69"/>
      <c r="N186" s="69" t="str">
        <f>CONCATENATE("&lt;!-- ",L186," --&gt;")</f>
        <v>&lt;!--  --&gt;</v>
      </c>
      <c r="O186" s="72"/>
      <c r="R186" s="83" t="str">
        <f>I186</f>
        <v>Título 13</v>
      </c>
      <c r="S186" s="69"/>
      <c r="T186" s="69"/>
      <c r="U186" s="70"/>
      <c r="V186" s="69"/>
      <c r="W186" s="69" t="str">
        <f>CONCATENATE("&lt;!-- ",U186," --&gt;")</f>
        <v>&lt;!--  --&gt;</v>
      </c>
      <c r="X186" s="72"/>
      <c r="Y186" t="s">
        <v>2</v>
      </c>
    </row>
    <row r="187" ht="14.4" spans="1:25">
      <c r="A187" s="73" t="s">
        <v>166</v>
      </c>
      <c r="B187" s="74" t="s">
        <v>167</v>
      </c>
      <c r="C187" s="75" t="s">
        <v>168</v>
      </c>
      <c r="F187" t="s">
        <v>90</v>
      </c>
      <c r="G187" s="77"/>
      <c r="I187" s="73" t="s">
        <v>166</v>
      </c>
      <c r="J187" s="74" t="s">
        <v>167</v>
      </c>
      <c r="K187" s="75" t="s">
        <v>168</v>
      </c>
      <c r="N187" t="str">
        <f>CONCATENATE(J187,L187,K187)</f>
        <v>&lt;div &gt;</v>
      </c>
      <c r="O187" s="77"/>
      <c r="R187" s="73" t="s">
        <v>166</v>
      </c>
      <c r="S187" s="74" t="s">
        <v>167</v>
      </c>
      <c r="T187" s="75" t="s">
        <v>168</v>
      </c>
      <c r="W187" t="str">
        <f>CONCATENATE(S187,U187,T187)</f>
        <v>&lt;div &gt;</v>
      </c>
      <c r="X187" s="77"/>
      <c r="Y187" t="s">
        <v>2</v>
      </c>
    </row>
    <row r="188" spans="1:25">
      <c r="A188" s="73"/>
      <c r="D188" s="76"/>
      <c r="E188" t="str">
        <f>CONCATENATE("id=",Comillas,D188,Comillas)</f>
        <v>id=""</v>
      </c>
      <c r="F188" t="str">
        <f>CONCATENATE("&lt;h3 ",E188,"&gt;",D186,"&lt;/h3&gt;")</f>
        <v>&lt;h3 id=""&gt;&lt;/h3&gt;</v>
      </c>
      <c r="G188" s="77"/>
      <c r="H188" t="s">
        <v>2</v>
      </c>
      <c r="I188" s="73"/>
      <c r="N188" t="str">
        <f>CONCATENATE("&lt;h4&gt;",L186,"&lt;/h4&gt;")</f>
        <v>&lt;h4&gt;&lt;/h4&gt;</v>
      </c>
      <c r="O188" s="77"/>
      <c r="R188" s="73"/>
      <c r="W188" t="str">
        <f>CONCATENATE("&lt;h5&gt;",U186,"&lt;/h5&gt;")</f>
        <v>&lt;h5&gt;&lt;/h5&gt;</v>
      </c>
      <c r="X188" s="77"/>
      <c r="Y188" t="s">
        <v>2</v>
      </c>
    </row>
    <row r="189" spans="1:25">
      <c r="A189" s="73"/>
      <c r="F189" t="str">
        <f>IF(D190&lt;&gt;"","&lt;p&gt;","")</f>
        <v/>
      </c>
      <c r="G189" s="77"/>
      <c r="H189" t="s">
        <v>2</v>
      </c>
      <c r="I189" s="73"/>
      <c r="N189" t="str">
        <f>IF(L190&lt;&gt;"","&lt;p&gt;","")</f>
        <v/>
      </c>
      <c r="O189" s="77"/>
      <c r="R189" s="73"/>
      <c r="W189" t="str">
        <f>IF(U190&lt;&gt;"","&lt;p&gt;","")</f>
        <v/>
      </c>
      <c r="X189" s="77"/>
      <c r="Y189" t="s">
        <v>2</v>
      </c>
    </row>
    <row r="190" spans="1:25">
      <c r="A190" s="73" t="s">
        <v>171</v>
      </c>
      <c r="D190" s="76"/>
      <c r="E190" t="s">
        <v>2</v>
      </c>
      <c r="F190" t="str">
        <f>IF(D190&lt;&gt;"",D190,"")</f>
        <v/>
      </c>
      <c r="G190" s="77"/>
      <c r="H190" t="s">
        <v>2</v>
      </c>
      <c r="I190" s="73" t="s">
        <v>171</v>
      </c>
      <c r="L190" s="76"/>
      <c r="M190" t="s">
        <v>2</v>
      </c>
      <c r="N190" t="str">
        <f>IF(L190&lt;&gt;"",L190,"")</f>
        <v/>
      </c>
      <c r="O190" s="77"/>
      <c r="R190" s="73" t="s">
        <v>171</v>
      </c>
      <c r="U190" s="76"/>
      <c r="V190" t="s">
        <v>2</v>
      </c>
      <c r="W190" t="str">
        <f>IF(U190&lt;&gt;"",U190,"")</f>
        <v/>
      </c>
      <c r="X190" s="77"/>
      <c r="Y190" t="s">
        <v>2</v>
      </c>
    </row>
    <row r="191" spans="1:25">
      <c r="A191" s="73"/>
      <c r="F191" t="s">
        <v>112</v>
      </c>
      <c r="G191" s="77"/>
      <c r="H191" t="s">
        <v>2</v>
      </c>
      <c r="I191" s="73"/>
      <c r="N191" t="s">
        <v>112</v>
      </c>
      <c r="O191" s="77"/>
      <c r="R191" s="73"/>
      <c r="W191" t="s">
        <v>112</v>
      </c>
      <c r="X191" s="77"/>
      <c r="Y191" t="s">
        <v>2</v>
      </c>
    </row>
    <row r="192" ht="14.55" spans="1:25">
      <c r="A192" s="81"/>
      <c r="B192" s="67"/>
      <c r="C192" s="67"/>
      <c r="D192" s="67"/>
      <c r="E192" s="67"/>
      <c r="F192" s="67" t="str">
        <f>CONCATENATE("&lt;!-- ",D186," fin --&gt;")</f>
        <v>&lt;!--  fin --&gt;</v>
      </c>
      <c r="G192" s="82"/>
      <c r="H192" t="s">
        <v>2</v>
      </c>
      <c r="I192" s="81"/>
      <c r="J192" s="67"/>
      <c r="K192" s="67"/>
      <c r="L192" s="67"/>
      <c r="M192" s="67"/>
      <c r="N192" s="67" t="str">
        <f>CONCATENATE("&lt;!-- ",L186," fin --&gt;")</f>
        <v>&lt;!--  fin --&gt;</v>
      </c>
      <c r="O192" s="82"/>
      <c r="R192" s="81"/>
      <c r="S192" s="67"/>
      <c r="T192" s="67"/>
      <c r="U192" s="67"/>
      <c r="V192" s="67"/>
      <c r="W192" s="67" t="str">
        <f>CONCATENATE("&lt;!-- ",U186," fin --&gt;")</f>
        <v>&lt;!--  fin --&gt;</v>
      </c>
      <c r="X192" s="82"/>
      <c r="Y192" t="s">
        <v>2</v>
      </c>
    </row>
    <row r="193" ht="14.55" spans="1:23">
      <c r="A193" s="83"/>
      <c r="B193" s="69"/>
      <c r="C193" s="69"/>
      <c r="D193" s="84"/>
      <c r="E193" s="69"/>
      <c r="F193" s="67" t="str">
        <f>""</f>
        <v/>
      </c>
      <c r="I193" s="83"/>
      <c r="J193" s="69"/>
      <c r="K193" s="69"/>
      <c r="L193" s="84"/>
      <c r="M193" s="69"/>
      <c r="N193" s="67" t="str">
        <f>""</f>
        <v/>
      </c>
      <c r="R193" s="83"/>
      <c r="S193" s="69"/>
      <c r="T193" s="69"/>
      <c r="U193" s="84"/>
      <c r="V193" s="69"/>
      <c r="W193" s="67" t="str">
        <f>""</f>
        <v/>
      </c>
    </row>
    <row r="194" spans="1:25">
      <c r="A194" s="83" t="s">
        <v>198</v>
      </c>
      <c r="B194" s="69"/>
      <c r="C194" s="69"/>
      <c r="D194" s="70"/>
      <c r="E194" s="69" t="s">
        <v>2</v>
      </c>
      <c r="F194" s="69" t="str">
        <f>CONCATENATE("&lt;!-- ",D194," --&gt;")</f>
        <v>&lt;!--  --&gt;</v>
      </c>
      <c r="G194" s="72"/>
      <c r="H194" t="s">
        <v>2</v>
      </c>
      <c r="I194" s="83" t="s">
        <v>198</v>
      </c>
      <c r="J194" s="69"/>
      <c r="K194" s="69"/>
      <c r="L194" s="70"/>
      <c r="M194" s="69"/>
      <c r="N194" s="69" t="str">
        <f>CONCATENATE("&lt;!-- ",L194," --&gt;")</f>
        <v>&lt;!--  --&gt;</v>
      </c>
      <c r="O194" s="72"/>
      <c r="R194" s="83" t="str">
        <f>I194</f>
        <v>Título 14</v>
      </c>
      <c r="S194" s="69"/>
      <c r="T194" s="69"/>
      <c r="U194" s="70"/>
      <c r="V194" s="69"/>
      <c r="W194" s="69" t="str">
        <f>CONCATENATE("&lt;!-- ",U194," --&gt;")</f>
        <v>&lt;!--  --&gt;</v>
      </c>
      <c r="X194" s="72"/>
      <c r="Y194" t="s">
        <v>2</v>
      </c>
    </row>
    <row r="195" ht="14.4" spans="1:25">
      <c r="A195" s="73" t="s">
        <v>166</v>
      </c>
      <c r="B195" s="74" t="s">
        <v>167</v>
      </c>
      <c r="C195" s="75" t="s">
        <v>168</v>
      </c>
      <c r="F195" t="s">
        <v>90</v>
      </c>
      <c r="G195" s="77"/>
      <c r="I195" s="73" t="s">
        <v>166</v>
      </c>
      <c r="J195" s="74" t="s">
        <v>167</v>
      </c>
      <c r="K195" s="75" t="s">
        <v>168</v>
      </c>
      <c r="N195" t="str">
        <f>CONCATENATE(J195,L195,K195)</f>
        <v>&lt;div &gt;</v>
      </c>
      <c r="O195" s="77"/>
      <c r="R195" s="73" t="s">
        <v>166</v>
      </c>
      <c r="S195" s="74" t="s">
        <v>167</v>
      </c>
      <c r="T195" s="75" t="s">
        <v>168</v>
      </c>
      <c r="W195" t="str">
        <f>CONCATENATE(S195,U195,T195)</f>
        <v>&lt;div &gt;</v>
      </c>
      <c r="X195" s="77"/>
      <c r="Y195" t="s">
        <v>2</v>
      </c>
    </row>
    <row r="196" spans="1:25">
      <c r="A196" s="73"/>
      <c r="D196" s="76"/>
      <c r="E196" t="str">
        <f>CONCATENATE("id=",Comillas,D196,Comillas)</f>
        <v>id=""</v>
      </c>
      <c r="F196" t="str">
        <f>CONCATENATE("&lt;h3 ",E196,"&gt;",D194,"&lt;/h3&gt;")</f>
        <v>&lt;h3 id=""&gt;&lt;/h3&gt;</v>
      </c>
      <c r="G196" s="77"/>
      <c r="H196" t="s">
        <v>2</v>
      </c>
      <c r="I196" s="73"/>
      <c r="N196" t="str">
        <f>CONCATENATE("&lt;h4&gt;",L194,"&lt;/h4&gt;")</f>
        <v>&lt;h4&gt;&lt;/h4&gt;</v>
      </c>
      <c r="O196" s="77"/>
      <c r="R196" s="73"/>
      <c r="W196" t="str">
        <f>CONCATENATE("&lt;h5&gt;",U194,"&lt;/h5&gt;")</f>
        <v>&lt;h5&gt;&lt;/h5&gt;</v>
      </c>
      <c r="X196" s="77"/>
      <c r="Y196" t="s">
        <v>2</v>
      </c>
    </row>
    <row r="197" spans="1:25">
      <c r="A197" s="73"/>
      <c r="F197" t="str">
        <f>IF(D198&lt;&gt;"","&lt;p&gt;","")</f>
        <v/>
      </c>
      <c r="G197" s="77"/>
      <c r="H197" t="s">
        <v>2</v>
      </c>
      <c r="I197" s="73"/>
      <c r="N197" t="str">
        <f>IF(L198&lt;&gt;"","&lt;p&gt;","")</f>
        <v/>
      </c>
      <c r="O197" s="77"/>
      <c r="R197" s="73"/>
      <c r="W197" t="str">
        <f>IF(U198&lt;&gt;"","&lt;p&gt;","")</f>
        <v/>
      </c>
      <c r="X197" s="77"/>
      <c r="Y197" t="s">
        <v>2</v>
      </c>
    </row>
    <row r="198" spans="1:25">
      <c r="A198" s="73" t="s">
        <v>171</v>
      </c>
      <c r="D198" s="76"/>
      <c r="E198" t="s">
        <v>2</v>
      </c>
      <c r="F198" t="str">
        <f>IF(D198&lt;&gt;"",D198,"")</f>
        <v/>
      </c>
      <c r="G198" s="77"/>
      <c r="H198" t="s">
        <v>2</v>
      </c>
      <c r="I198" s="73" t="s">
        <v>171</v>
      </c>
      <c r="L198" s="76"/>
      <c r="M198" t="s">
        <v>2</v>
      </c>
      <c r="N198" t="str">
        <f>IF(L198&lt;&gt;"",L198,"")</f>
        <v/>
      </c>
      <c r="O198" s="77"/>
      <c r="R198" s="73" t="s">
        <v>171</v>
      </c>
      <c r="U198" s="76"/>
      <c r="V198" t="s">
        <v>2</v>
      </c>
      <c r="W198" t="str">
        <f>IF(U198&lt;&gt;"",U198,"")</f>
        <v/>
      </c>
      <c r="X198" s="77"/>
      <c r="Y198" t="s">
        <v>2</v>
      </c>
    </row>
    <row r="199" spans="1:25">
      <c r="A199" s="73"/>
      <c r="F199" t="s">
        <v>112</v>
      </c>
      <c r="G199" s="77"/>
      <c r="H199" t="s">
        <v>2</v>
      </c>
      <c r="I199" s="73"/>
      <c r="N199" t="s">
        <v>112</v>
      </c>
      <c r="O199" s="77"/>
      <c r="R199" s="73"/>
      <c r="W199" t="s">
        <v>112</v>
      </c>
      <c r="X199" s="77"/>
      <c r="Y199" t="s">
        <v>2</v>
      </c>
    </row>
    <row r="200" ht="14.55" spans="1:25">
      <c r="A200" s="81"/>
      <c r="B200" s="67"/>
      <c r="C200" s="67"/>
      <c r="D200" s="67"/>
      <c r="E200" s="67"/>
      <c r="F200" s="67" t="str">
        <f>CONCATENATE("&lt;!-- ",D194," fin --&gt;")</f>
        <v>&lt;!--  fin --&gt;</v>
      </c>
      <c r="G200" s="82"/>
      <c r="H200" t="s">
        <v>2</v>
      </c>
      <c r="I200" s="81"/>
      <c r="J200" s="67"/>
      <c r="K200" s="67"/>
      <c r="L200" s="67"/>
      <c r="M200" s="67"/>
      <c r="N200" s="67" t="str">
        <f>CONCATENATE("&lt;!-- ",L194," fin --&gt;")</f>
        <v>&lt;!--  fin --&gt;</v>
      </c>
      <c r="O200" s="82"/>
      <c r="R200" s="81"/>
      <c r="S200" s="67"/>
      <c r="T200" s="67"/>
      <c r="U200" s="67"/>
      <c r="V200" s="67"/>
      <c r="W200" s="67" t="str">
        <f>CONCATENATE("&lt;!-- ",U194," fin --&gt;")</f>
        <v>&lt;!--  fin --&gt;</v>
      </c>
      <c r="X200" s="82"/>
      <c r="Y200" t="s">
        <v>2</v>
      </c>
    </row>
    <row r="201" ht="14.55" spans="1:23">
      <c r="A201" s="83"/>
      <c r="B201" s="69"/>
      <c r="C201" s="69"/>
      <c r="D201" s="84"/>
      <c r="E201" s="69"/>
      <c r="F201" s="67" t="str">
        <f>""</f>
        <v/>
      </c>
      <c r="I201" s="83"/>
      <c r="J201" s="69"/>
      <c r="K201" s="69"/>
      <c r="L201" s="84"/>
      <c r="M201" s="69"/>
      <c r="N201" s="67" t="str">
        <f>""</f>
        <v/>
      </c>
      <c r="R201" s="83"/>
      <c r="S201" s="69"/>
      <c r="T201" s="69"/>
      <c r="U201" s="84"/>
      <c r="V201" s="69"/>
      <c r="W201" s="67" t="str">
        <f>""</f>
        <v/>
      </c>
    </row>
    <row r="202" spans="1:25">
      <c r="A202" s="83" t="s">
        <v>199</v>
      </c>
      <c r="B202" s="69"/>
      <c r="C202" s="69"/>
      <c r="D202" s="70"/>
      <c r="E202" s="69" t="s">
        <v>2</v>
      </c>
      <c r="F202" s="69" t="str">
        <f>CONCATENATE("&lt;!-- ",D202," --&gt;")</f>
        <v>&lt;!--  --&gt;</v>
      </c>
      <c r="G202" s="72"/>
      <c r="H202" t="s">
        <v>2</v>
      </c>
      <c r="I202" s="83" t="s">
        <v>199</v>
      </c>
      <c r="J202" s="69"/>
      <c r="K202" s="69"/>
      <c r="L202" s="70"/>
      <c r="M202" s="69"/>
      <c r="N202" s="69" t="str">
        <f>CONCATENATE("&lt;!-- ",L202," --&gt;")</f>
        <v>&lt;!--  --&gt;</v>
      </c>
      <c r="O202" s="72"/>
      <c r="R202" s="83" t="str">
        <f>I202</f>
        <v>Título 15</v>
      </c>
      <c r="S202" s="69"/>
      <c r="T202" s="69"/>
      <c r="U202" s="70"/>
      <c r="V202" s="69"/>
      <c r="W202" s="69" t="str">
        <f>CONCATENATE("&lt;!-- ",U202," --&gt;")</f>
        <v>&lt;!--  --&gt;</v>
      </c>
      <c r="X202" s="72"/>
      <c r="Y202" t="s">
        <v>2</v>
      </c>
    </row>
    <row r="203" ht="14.4" spans="1:25">
      <c r="A203" s="73" t="s">
        <v>166</v>
      </c>
      <c r="B203" s="74" t="s">
        <v>167</v>
      </c>
      <c r="C203" s="75" t="s">
        <v>168</v>
      </c>
      <c r="F203" t="s">
        <v>90</v>
      </c>
      <c r="G203" s="77"/>
      <c r="I203" s="73" t="s">
        <v>166</v>
      </c>
      <c r="J203" s="74" t="s">
        <v>167</v>
      </c>
      <c r="K203" s="75" t="s">
        <v>168</v>
      </c>
      <c r="N203" t="str">
        <f>CONCATENATE(J203,L203,K203)</f>
        <v>&lt;div &gt;</v>
      </c>
      <c r="O203" s="77"/>
      <c r="R203" s="73" t="s">
        <v>166</v>
      </c>
      <c r="S203" s="74" t="s">
        <v>167</v>
      </c>
      <c r="T203" s="75" t="s">
        <v>168</v>
      </c>
      <c r="W203" t="str">
        <f>CONCATENATE(S203,U203,T203)</f>
        <v>&lt;div &gt;</v>
      </c>
      <c r="X203" s="77"/>
      <c r="Y203" t="s">
        <v>2</v>
      </c>
    </row>
    <row r="204" spans="1:25">
      <c r="A204" s="73"/>
      <c r="D204" s="76"/>
      <c r="E204" t="str">
        <f>CONCATENATE("id=",Comillas,D204,Comillas)</f>
        <v>id=""</v>
      </c>
      <c r="F204" t="str">
        <f>CONCATENATE("&lt;h3 ",E204,"&gt;",D202,"&lt;/h3&gt;")</f>
        <v>&lt;h3 id=""&gt;&lt;/h3&gt;</v>
      </c>
      <c r="G204" s="77"/>
      <c r="H204" t="s">
        <v>2</v>
      </c>
      <c r="I204" s="73"/>
      <c r="N204" t="str">
        <f>CONCATENATE("&lt;h4&gt;",L202,"&lt;/h4&gt;")</f>
        <v>&lt;h4&gt;&lt;/h4&gt;</v>
      </c>
      <c r="O204" s="77"/>
      <c r="R204" s="73"/>
      <c r="W204" t="str">
        <f>CONCATENATE("&lt;h5&gt;",U202,"&lt;/h5&gt;")</f>
        <v>&lt;h5&gt;&lt;/h5&gt;</v>
      </c>
      <c r="X204" s="77"/>
      <c r="Y204" t="s">
        <v>2</v>
      </c>
    </row>
    <row r="205" spans="1:25">
      <c r="A205" s="73"/>
      <c r="F205" t="str">
        <f>IF(D206&lt;&gt;"","&lt;p&gt;","")</f>
        <v/>
      </c>
      <c r="G205" s="77"/>
      <c r="H205" t="s">
        <v>2</v>
      </c>
      <c r="I205" s="73"/>
      <c r="N205" t="str">
        <f>IF(L206&lt;&gt;"","&lt;p&gt;","")</f>
        <v/>
      </c>
      <c r="O205" s="77"/>
      <c r="R205" s="73"/>
      <c r="W205" t="str">
        <f>IF(U206&lt;&gt;"","&lt;p&gt;","")</f>
        <v/>
      </c>
      <c r="X205" s="77"/>
      <c r="Y205" t="s">
        <v>2</v>
      </c>
    </row>
    <row r="206" spans="1:25">
      <c r="A206" s="73" t="s">
        <v>171</v>
      </c>
      <c r="D206" s="76"/>
      <c r="E206" t="s">
        <v>2</v>
      </c>
      <c r="F206" t="str">
        <f>IF(D206&lt;&gt;"",D206,"")</f>
        <v/>
      </c>
      <c r="G206" s="77"/>
      <c r="H206" t="s">
        <v>2</v>
      </c>
      <c r="I206" s="73" t="s">
        <v>171</v>
      </c>
      <c r="L206" s="76"/>
      <c r="M206" t="s">
        <v>2</v>
      </c>
      <c r="N206" t="str">
        <f>IF(L206&lt;&gt;"",L206,"")</f>
        <v/>
      </c>
      <c r="O206" s="77"/>
      <c r="R206" s="73" t="s">
        <v>171</v>
      </c>
      <c r="U206" s="76"/>
      <c r="V206" t="s">
        <v>2</v>
      </c>
      <c r="W206" t="str">
        <f>IF(U206&lt;&gt;"",U206,"")</f>
        <v/>
      </c>
      <c r="X206" s="77"/>
      <c r="Y206" t="s">
        <v>2</v>
      </c>
    </row>
    <row r="207" spans="1:25">
      <c r="A207" s="73"/>
      <c r="F207" t="s">
        <v>112</v>
      </c>
      <c r="G207" s="77"/>
      <c r="H207" t="s">
        <v>2</v>
      </c>
      <c r="I207" s="73"/>
      <c r="N207" t="s">
        <v>112</v>
      </c>
      <c r="O207" s="77"/>
      <c r="R207" s="73"/>
      <c r="W207" t="s">
        <v>112</v>
      </c>
      <c r="X207" s="77"/>
      <c r="Y207" t="s">
        <v>2</v>
      </c>
    </row>
    <row r="208" ht="14.55" spans="1:25">
      <c r="A208" s="81"/>
      <c r="B208" s="67"/>
      <c r="C208" s="67"/>
      <c r="D208" s="67"/>
      <c r="E208" s="67"/>
      <c r="F208" s="67" t="str">
        <f>CONCATENATE("&lt;!-- ",D202," fin --&gt;")</f>
        <v>&lt;!--  fin --&gt;</v>
      </c>
      <c r="G208" s="82"/>
      <c r="H208" t="s">
        <v>2</v>
      </c>
      <c r="I208" s="81"/>
      <c r="J208" s="67"/>
      <c r="K208" s="67"/>
      <c r="L208" s="67"/>
      <c r="M208" s="67"/>
      <c r="N208" s="67" t="str">
        <f>CONCATENATE("&lt;!-- ",L202," fin --&gt;")</f>
        <v>&lt;!--  fin --&gt;</v>
      </c>
      <c r="O208" s="82"/>
      <c r="R208" s="81"/>
      <c r="S208" s="67"/>
      <c r="T208" s="67"/>
      <c r="U208" s="67"/>
      <c r="V208" s="67"/>
      <c r="W208" s="67" t="str">
        <f>CONCATENATE("&lt;!-- ",U202," fin --&gt;")</f>
        <v>&lt;!--  fin --&gt;</v>
      </c>
      <c r="X208" s="82"/>
      <c r="Y208" t="s">
        <v>2</v>
      </c>
    </row>
    <row r="209" ht="14.55" spans="1:23">
      <c r="A209" s="83"/>
      <c r="B209" s="69"/>
      <c r="C209" s="69"/>
      <c r="D209" s="84"/>
      <c r="E209" s="69"/>
      <c r="F209" s="67" t="str">
        <f>""</f>
        <v/>
      </c>
      <c r="I209" s="83"/>
      <c r="J209" s="69"/>
      <c r="K209" s="69"/>
      <c r="L209" s="84"/>
      <c r="M209" s="69"/>
      <c r="N209" s="67" t="str">
        <f>""</f>
        <v/>
      </c>
      <c r="R209" s="83"/>
      <c r="S209" s="69"/>
      <c r="T209" s="69"/>
      <c r="U209" s="84"/>
      <c r="V209" s="69"/>
      <c r="W209" s="67" t="str">
        <f>""</f>
        <v/>
      </c>
    </row>
    <row r="210" spans="1:25">
      <c r="A210" s="83" t="s">
        <v>200</v>
      </c>
      <c r="B210" s="69"/>
      <c r="C210" s="69"/>
      <c r="D210" s="70"/>
      <c r="E210" s="69" t="s">
        <v>2</v>
      </c>
      <c r="F210" s="69" t="str">
        <f>CONCATENATE("&lt;!-- ",D210," --&gt;")</f>
        <v>&lt;!--  --&gt;</v>
      </c>
      <c r="G210" s="72"/>
      <c r="H210" t="s">
        <v>2</v>
      </c>
      <c r="I210" s="83" t="s">
        <v>200</v>
      </c>
      <c r="J210" s="69"/>
      <c r="K210" s="69"/>
      <c r="L210" s="70"/>
      <c r="M210" s="69"/>
      <c r="N210" s="69" t="str">
        <f>CONCATENATE("&lt;!-- ",L210," --&gt;")</f>
        <v>&lt;!--  --&gt;</v>
      </c>
      <c r="O210" s="72"/>
      <c r="R210" s="83" t="str">
        <f>I210</f>
        <v>Título 16</v>
      </c>
      <c r="S210" s="69"/>
      <c r="T210" s="69"/>
      <c r="U210" s="70"/>
      <c r="V210" s="69"/>
      <c r="W210" s="69" t="str">
        <f>CONCATENATE("&lt;!-- ",U210," --&gt;")</f>
        <v>&lt;!--  --&gt;</v>
      </c>
      <c r="X210" s="72"/>
      <c r="Y210" t="s">
        <v>2</v>
      </c>
    </row>
    <row r="211" ht="14.4" spans="1:25">
      <c r="A211" s="73" t="s">
        <v>166</v>
      </c>
      <c r="B211" s="74" t="s">
        <v>167</v>
      </c>
      <c r="C211" s="75" t="s">
        <v>168</v>
      </c>
      <c r="F211" t="s">
        <v>90</v>
      </c>
      <c r="G211" s="77"/>
      <c r="I211" s="73" t="s">
        <v>166</v>
      </c>
      <c r="J211" s="74" t="s">
        <v>167</v>
      </c>
      <c r="K211" s="75" t="s">
        <v>168</v>
      </c>
      <c r="N211" t="str">
        <f>CONCATENATE(J211,L211,K211)</f>
        <v>&lt;div &gt;</v>
      </c>
      <c r="O211" s="77"/>
      <c r="R211" s="73" t="s">
        <v>166</v>
      </c>
      <c r="S211" s="74" t="s">
        <v>167</v>
      </c>
      <c r="T211" s="75" t="s">
        <v>168</v>
      </c>
      <c r="W211" t="str">
        <f>CONCATENATE(S211,U211,T211)</f>
        <v>&lt;div &gt;</v>
      </c>
      <c r="X211" s="77"/>
      <c r="Y211" t="s">
        <v>2</v>
      </c>
    </row>
    <row r="212" spans="1:25">
      <c r="A212" s="73"/>
      <c r="D212" s="76"/>
      <c r="E212" t="str">
        <f>CONCATENATE("id=",Comillas,D212,Comillas)</f>
        <v>id=""</v>
      </c>
      <c r="F212" t="str">
        <f>CONCATENATE("&lt;h3 ",E212,"&gt;",D210,"&lt;/h3&gt;")</f>
        <v>&lt;h3 id=""&gt;&lt;/h3&gt;</v>
      </c>
      <c r="G212" s="77"/>
      <c r="H212" t="s">
        <v>2</v>
      </c>
      <c r="I212" s="73"/>
      <c r="N212" t="str">
        <f>CONCATENATE("&lt;h4&gt;",L210,"&lt;/h4&gt;")</f>
        <v>&lt;h4&gt;&lt;/h4&gt;</v>
      </c>
      <c r="O212" s="77"/>
      <c r="R212" s="73"/>
      <c r="W212" t="str">
        <f>CONCATENATE("&lt;h5&gt;",U210,"&lt;/h5&gt;")</f>
        <v>&lt;h5&gt;&lt;/h5&gt;</v>
      </c>
      <c r="X212" s="77"/>
      <c r="Y212" t="s">
        <v>2</v>
      </c>
    </row>
    <row r="213" spans="1:25">
      <c r="A213" s="73"/>
      <c r="F213" t="str">
        <f>IF(D214&lt;&gt;"","&lt;p&gt;","")</f>
        <v/>
      </c>
      <c r="G213" s="77"/>
      <c r="H213" t="s">
        <v>2</v>
      </c>
      <c r="I213" s="73"/>
      <c r="N213" t="str">
        <f>IF(L214&lt;&gt;"","&lt;p&gt;","")</f>
        <v/>
      </c>
      <c r="O213" s="77"/>
      <c r="R213" s="73"/>
      <c r="W213" t="str">
        <f>IF(U214&lt;&gt;"","&lt;p&gt;","")</f>
        <v/>
      </c>
      <c r="X213" s="77"/>
      <c r="Y213" t="s">
        <v>2</v>
      </c>
    </row>
    <row r="214" spans="1:25">
      <c r="A214" s="73" t="s">
        <v>171</v>
      </c>
      <c r="D214" s="76"/>
      <c r="E214" t="s">
        <v>2</v>
      </c>
      <c r="F214" t="str">
        <f>IF(D214&lt;&gt;"",D214,"")</f>
        <v/>
      </c>
      <c r="G214" s="77"/>
      <c r="H214" t="s">
        <v>2</v>
      </c>
      <c r="I214" s="73" t="s">
        <v>171</v>
      </c>
      <c r="L214" s="76"/>
      <c r="M214" t="s">
        <v>2</v>
      </c>
      <c r="N214" t="str">
        <f>IF(L214&lt;&gt;"",L214,"")</f>
        <v/>
      </c>
      <c r="O214" s="77"/>
      <c r="R214" s="73" t="s">
        <v>171</v>
      </c>
      <c r="U214" s="76"/>
      <c r="V214" t="s">
        <v>2</v>
      </c>
      <c r="W214" t="str">
        <f>IF(U214&lt;&gt;"",U214,"")</f>
        <v/>
      </c>
      <c r="X214" s="77"/>
      <c r="Y214" t="s">
        <v>2</v>
      </c>
    </row>
    <row r="215" spans="1:25">
      <c r="A215" s="73"/>
      <c r="F215" t="s">
        <v>112</v>
      </c>
      <c r="G215" s="77"/>
      <c r="H215" t="s">
        <v>2</v>
      </c>
      <c r="I215" s="73"/>
      <c r="N215" t="s">
        <v>112</v>
      </c>
      <c r="O215" s="77"/>
      <c r="R215" s="73"/>
      <c r="W215" t="s">
        <v>112</v>
      </c>
      <c r="X215" s="77"/>
      <c r="Y215" t="s">
        <v>2</v>
      </c>
    </row>
    <row r="216" ht="14.55" spans="1:25">
      <c r="A216" s="81"/>
      <c r="B216" s="67"/>
      <c r="C216" s="67"/>
      <c r="D216" s="67"/>
      <c r="E216" s="67"/>
      <c r="F216" s="67" t="str">
        <f>CONCATENATE("&lt;!-- ",D210," fin --&gt;")</f>
        <v>&lt;!--  fin --&gt;</v>
      </c>
      <c r="G216" s="82"/>
      <c r="H216" t="s">
        <v>2</v>
      </c>
      <c r="I216" s="81"/>
      <c r="J216" s="67"/>
      <c r="K216" s="67"/>
      <c r="L216" s="67"/>
      <c r="M216" s="67"/>
      <c r="N216" s="67" t="str">
        <f>CONCATENATE("&lt;!-- ",L210," fin --&gt;")</f>
        <v>&lt;!--  fin --&gt;</v>
      </c>
      <c r="O216" s="82"/>
      <c r="R216" s="81"/>
      <c r="S216" s="67"/>
      <c r="T216" s="67"/>
      <c r="U216" s="67"/>
      <c r="V216" s="67"/>
      <c r="W216" s="67" t="str">
        <f>CONCATENATE("&lt;!-- ",U210," fin --&gt;")</f>
        <v>&lt;!--  fin --&gt;</v>
      </c>
      <c r="X216" s="82"/>
      <c r="Y216" t="s">
        <v>2</v>
      </c>
    </row>
    <row r="217" ht="14.55" spans="1:23">
      <c r="A217" s="83"/>
      <c r="B217" s="69"/>
      <c r="C217" s="69"/>
      <c r="D217" s="84"/>
      <c r="E217" s="69"/>
      <c r="F217" s="67" t="str">
        <f>""</f>
        <v/>
      </c>
      <c r="I217" s="83"/>
      <c r="J217" s="69"/>
      <c r="K217" s="69"/>
      <c r="L217" s="84"/>
      <c r="M217" s="69"/>
      <c r="N217" s="67" t="str">
        <f>""</f>
        <v/>
      </c>
      <c r="R217" s="83"/>
      <c r="S217" s="69"/>
      <c r="T217" s="69"/>
      <c r="U217" s="84"/>
      <c r="V217" s="69"/>
      <c r="W217" s="67" t="str">
        <f>""</f>
        <v/>
      </c>
    </row>
    <row r="218" spans="1:25">
      <c r="A218" s="83" t="s">
        <v>201</v>
      </c>
      <c r="B218" s="69"/>
      <c r="C218" s="69"/>
      <c r="D218" s="70"/>
      <c r="E218" s="69" t="s">
        <v>2</v>
      </c>
      <c r="F218" s="69" t="str">
        <f>CONCATENATE("&lt;!-- ",D218," --&gt;")</f>
        <v>&lt;!--  --&gt;</v>
      </c>
      <c r="G218" s="72"/>
      <c r="H218" t="s">
        <v>2</v>
      </c>
      <c r="I218" s="83" t="s">
        <v>201</v>
      </c>
      <c r="J218" s="69"/>
      <c r="K218" s="69"/>
      <c r="L218" s="70"/>
      <c r="M218" s="69"/>
      <c r="N218" s="69" t="str">
        <f>CONCATENATE("&lt;!-- ",L218," --&gt;")</f>
        <v>&lt;!--  --&gt;</v>
      </c>
      <c r="O218" s="72"/>
      <c r="R218" s="83" t="str">
        <f>I218</f>
        <v>Título 17</v>
      </c>
      <c r="S218" s="69"/>
      <c r="T218" s="69"/>
      <c r="U218" s="70"/>
      <c r="V218" s="69"/>
      <c r="W218" s="69" t="str">
        <f>CONCATENATE("&lt;!-- ",U218," --&gt;")</f>
        <v>&lt;!--  --&gt;</v>
      </c>
      <c r="X218" s="72"/>
      <c r="Y218" t="s">
        <v>2</v>
      </c>
    </row>
    <row r="219" ht="14.4" spans="1:25">
      <c r="A219" s="73" t="s">
        <v>166</v>
      </c>
      <c r="B219" s="74" t="s">
        <v>167</v>
      </c>
      <c r="C219" s="75" t="s">
        <v>168</v>
      </c>
      <c r="F219" t="s">
        <v>90</v>
      </c>
      <c r="G219" s="77"/>
      <c r="I219" s="73" t="s">
        <v>166</v>
      </c>
      <c r="J219" s="74" t="s">
        <v>167</v>
      </c>
      <c r="K219" s="75" t="s">
        <v>168</v>
      </c>
      <c r="N219" t="str">
        <f>CONCATENATE(J219,L219,K219)</f>
        <v>&lt;div &gt;</v>
      </c>
      <c r="O219" s="77"/>
      <c r="R219" s="73" t="s">
        <v>166</v>
      </c>
      <c r="S219" s="74" t="s">
        <v>167</v>
      </c>
      <c r="T219" s="75" t="s">
        <v>168</v>
      </c>
      <c r="W219" t="str">
        <f>CONCATENATE(S219,U219,T219)</f>
        <v>&lt;div &gt;</v>
      </c>
      <c r="X219" s="77"/>
      <c r="Y219" t="s">
        <v>2</v>
      </c>
    </row>
    <row r="220" spans="1:25">
      <c r="A220" s="73"/>
      <c r="D220" s="76"/>
      <c r="E220" t="str">
        <f>CONCATENATE("id=",Comillas,D220,Comillas)</f>
        <v>id=""</v>
      </c>
      <c r="F220" t="str">
        <f>CONCATENATE("&lt;h3 ",E220,"&gt;",D218,"&lt;/h3&gt;")</f>
        <v>&lt;h3 id=""&gt;&lt;/h3&gt;</v>
      </c>
      <c r="G220" s="77"/>
      <c r="H220" t="s">
        <v>2</v>
      </c>
      <c r="I220" s="73"/>
      <c r="N220" t="str">
        <f>CONCATENATE("&lt;h4&gt;",L218,"&lt;/h4&gt;")</f>
        <v>&lt;h4&gt;&lt;/h4&gt;</v>
      </c>
      <c r="O220" s="77"/>
      <c r="R220" s="73"/>
      <c r="W220" t="str">
        <f>CONCATENATE("&lt;h5&gt;",U218,"&lt;/h5&gt;")</f>
        <v>&lt;h5&gt;&lt;/h5&gt;</v>
      </c>
      <c r="X220" s="77"/>
      <c r="Y220" t="s">
        <v>2</v>
      </c>
    </row>
    <row r="221" spans="1:25">
      <c r="A221" s="73"/>
      <c r="F221" t="str">
        <f>IF(D222&lt;&gt;"","&lt;p&gt;","")</f>
        <v/>
      </c>
      <c r="G221" s="77"/>
      <c r="H221" t="s">
        <v>2</v>
      </c>
      <c r="I221" s="73"/>
      <c r="N221" t="str">
        <f>IF(L222&lt;&gt;"","&lt;p&gt;","")</f>
        <v/>
      </c>
      <c r="O221" s="77"/>
      <c r="R221" s="73"/>
      <c r="W221" t="str">
        <f>IF(U222&lt;&gt;"","&lt;p&gt;","")</f>
        <v/>
      </c>
      <c r="X221" s="77"/>
      <c r="Y221" t="s">
        <v>2</v>
      </c>
    </row>
    <row r="222" spans="1:25">
      <c r="A222" s="73" t="s">
        <v>171</v>
      </c>
      <c r="D222" s="76"/>
      <c r="E222" t="s">
        <v>2</v>
      </c>
      <c r="F222" t="str">
        <f>IF(D222&lt;&gt;"",D222,"")</f>
        <v/>
      </c>
      <c r="G222" s="77"/>
      <c r="H222" t="s">
        <v>2</v>
      </c>
      <c r="I222" s="73" t="s">
        <v>171</v>
      </c>
      <c r="L222" s="76"/>
      <c r="M222" t="s">
        <v>2</v>
      </c>
      <c r="N222" t="str">
        <f>IF(L222&lt;&gt;"",L222,"")</f>
        <v/>
      </c>
      <c r="O222" s="77"/>
      <c r="R222" s="73" t="s">
        <v>171</v>
      </c>
      <c r="U222" s="76"/>
      <c r="V222" t="s">
        <v>2</v>
      </c>
      <c r="W222" t="str">
        <f>IF(U222&lt;&gt;"",U222,"")</f>
        <v/>
      </c>
      <c r="X222" s="77"/>
      <c r="Y222" t="s">
        <v>2</v>
      </c>
    </row>
    <row r="223" spans="1:25">
      <c r="A223" s="73"/>
      <c r="F223" t="s">
        <v>112</v>
      </c>
      <c r="G223" s="77"/>
      <c r="H223" t="s">
        <v>2</v>
      </c>
      <c r="I223" s="73"/>
      <c r="N223" t="s">
        <v>112</v>
      </c>
      <c r="O223" s="77"/>
      <c r="R223" s="73"/>
      <c r="W223" t="s">
        <v>112</v>
      </c>
      <c r="X223" s="77"/>
      <c r="Y223" t="s">
        <v>2</v>
      </c>
    </row>
    <row r="224" ht="14.55" spans="1:25">
      <c r="A224" s="81"/>
      <c r="B224" s="67"/>
      <c r="C224" s="67"/>
      <c r="D224" s="67"/>
      <c r="E224" s="67"/>
      <c r="F224" s="67" t="str">
        <f>CONCATENATE("&lt;!-- ",D218," fin --&gt;")</f>
        <v>&lt;!--  fin --&gt;</v>
      </c>
      <c r="G224" s="82"/>
      <c r="H224" t="s">
        <v>2</v>
      </c>
      <c r="I224" s="81"/>
      <c r="J224" s="67"/>
      <c r="K224" s="67"/>
      <c r="L224" s="67"/>
      <c r="M224" s="67"/>
      <c r="N224" s="67" t="str">
        <f>CONCATENATE("&lt;!-- ",L218," fin --&gt;")</f>
        <v>&lt;!--  fin --&gt;</v>
      </c>
      <c r="O224" s="82"/>
      <c r="R224" s="81"/>
      <c r="S224" s="67"/>
      <c r="T224" s="67"/>
      <c r="U224" s="67"/>
      <c r="V224" s="67"/>
      <c r="W224" s="67" t="str">
        <f>CONCATENATE("&lt;!-- ",U218," fin --&gt;")</f>
        <v>&lt;!--  fin --&gt;</v>
      </c>
      <c r="X224" s="82"/>
      <c r="Y224" t="s">
        <v>2</v>
      </c>
    </row>
    <row r="225" ht="14.55" spans="1:23">
      <c r="A225" s="83"/>
      <c r="B225" s="69"/>
      <c r="C225" s="69"/>
      <c r="D225" s="84"/>
      <c r="E225" s="69"/>
      <c r="F225" s="67" t="str">
        <f>""</f>
        <v/>
      </c>
      <c r="I225" s="83"/>
      <c r="J225" s="69"/>
      <c r="K225" s="69"/>
      <c r="L225" s="84"/>
      <c r="M225" s="69"/>
      <c r="N225" s="67" t="str">
        <f>""</f>
        <v/>
      </c>
      <c r="R225" s="83"/>
      <c r="S225" s="69"/>
      <c r="T225" s="69"/>
      <c r="U225" s="84"/>
      <c r="V225" s="69"/>
      <c r="W225" s="67" t="str">
        <f>""</f>
        <v/>
      </c>
    </row>
    <row r="226" spans="1:25">
      <c r="A226" s="83" t="s">
        <v>202</v>
      </c>
      <c r="B226" s="69"/>
      <c r="C226" s="69"/>
      <c r="D226" s="70"/>
      <c r="E226" s="69" t="s">
        <v>2</v>
      </c>
      <c r="F226" s="69" t="str">
        <f>CONCATENATE("&lt;!-- ",D226," --&gt;")</f>
        <v>&lt;!--  --&gt;</v>
      </c>
      <c r="G226" s="72"/>
      <c r="H226" t="s">
        <v>2</v>
      </c>
      <c r="I226" s="83" t="s">
        <v>202</v>
      </c>
      <c r="J226" s="69"/>
      <c r="K226" s="69"/>
      <c r="L226" s="70"/>
      <c r="M226" s="69"/>
      <c r="N226" s="69" t="str">
        <f>CONCATENATE("&lt;!-- ",L226," --&gt;")</f>
        <v>&lt;!--  --&gt;</v>
      </c>
      <c r="O226" s="72"/>
      <c r="R226" s="83" t="str">
        <f>I226</f>
        <v>Título 18</v>
      </c>
      <c r="S226" s="69"/>
      <c r="T226" s="69"/>
      <c r="U226" s="70"/>
      <c r="V226" s="69"/>
      <c r="W226" s="69" t="str">
        <f>CONCATENATE("&lt;!-- ",U226," --&gt;")</f>
        <v>&lt;!--  --&gt;</v>
      </c>
      <c r="X226" s="72"/>
      <c r="Y226" t="s">
        <v>2</v>
      </c>
    </row>
    <row r="227" ht="14.4" spans="1:25">
      <c r="A227" s="73" t="s">
        <v>166</v>
      </c>
      <c r="B227" s="74" t="s">
        <v>167</v>
      </c>
      <c r="C227" s="75" t="s">
        <v>168</v>
      </c>
      <c r="F227" t="s">
        <v>90</v>
      </c>
      <c r="G227" s="77"/>
      <c r="I227" s="73" t="s">
        <v>166</v>
      </c>
      <c r="J227" s="74" t="s">
        <v>167</v>
      </c>
      <c r="K227" s="75" t="s">
        <v>168</v>
      </c>
      <c r="N227" t="str">
        <f>CONCATENATE(J227,L227,K227)</f>
        <v>&lt;div &gt;</v>
      </c>
      <c r="O227" s="77"/>
      <c r="R227" s="73" t="s">
        <v>166</v>
      </c>
      <c r="S227" s="74" t="s">
        <v>167</v>
      </c>
      <c r="T227" s="75" t="s">
        <v>168</v>
      </c>
      <c r="W227" t="str">
        <f>CONCATENATE(S227,U227,T227)</f>
        <v>&lt;div &gt;</v>
      </c>
      <c r="X227" s="77"/>
      <c r="Y227" t="s">
        <v>2</v>
      </c>
    </row>
    <row r="228" spans="1:25">
      <c r="A228" s="73"/>
      <c r="D228" s="76"/>
      <c r="E228" t="str">
        <f>CONCATENATE("id=",Comillas,D228,Comillas)</f>
        <v>id=""</v>
      </c>
      <c r="F228" t="str">
        <f>CONCATENATE("&lt;h3 ",E228,"&gt;",D226,"&lt;/h3&gt;")</f>
        <v>&lt;h3 id=""&gt;&lt;/h3&gt;</v>
      </c>
      <c r="G228" s="77"/>
      <c r="H228" t="s">
        <v>2</v>
      </c>
      <c r="I228" s="73"/>
      <c r="N228" t="str">
        <f>CONCATENATE("&lt;h4&gt;",L226,"&lt;/h4&gt;")</f>
        <v>&lt;h4&gt;&lt;/h4&gt;</v>
      </c>
      <c r="O228" s="77"/>
      <c r="R228" s="73"/>
      <c r="W228" t="str">
        <f>CONCATENATE("&lt;h5&gt;",U226,"&lt;/h5&gt;")</f>
        <v>&lt;h5&gt;&lt;/h5&gt;</v>
      </c>
      <c r="X228" s="77"/>
      <c r="Y228" t="s">
        <v>2</v>
      </c>
    </row>
    <row r="229" spans="1:25">
      <c r="A229" s="73"/>
      <c r="F229" t="str">
        <f>IF(D230&lt;&gt;"","&lt;p&gt;","")</f>
        <v/>
      </c>
      <c r="G229" s="77"/>
      <c r="H229" t="s">
        <v>2</v>
      </c>
      <c r="I229" s="73"/>
      <c r="N229" t="str">
        <f>IF(L230&lt;&gt;"","&lt;p&gt;","")</f>
        <v/>
      </c>
      <c r="O229" s="77"/>
      <c r="R229" s="73"/>
      <c r="W229" t="str">
        <f>IF(U230&lt;&gt;"","&lt;p&gt;","")</f>
        <v/>
      </c>
      <c r="X229" s="77"/>
      <c r="Y229" t="s">
        <v>2</v>
      </c>
    </row>
    <row r="230" spans="1:25">
      <c r="A230" s="73" t="s">
        <v>171</v>
      </c>
      <c r="D230" s="76"/>
      <c r="E230" t="s">
        <v>2</v>
      </c>
      <c r="F230" t="str">
        <f>IF(D230&lt;&gt;"",D230,"")</f>
        <v/>
      </c>
      <c r="G230" s="77"/>
      <c r="H230" t="s">
        <v>2</v>
      </c>
      <c r="I230" s="73" t="s">
        <v>171</v>
      </c>
      <c r="L230" s="76"/>
      <c r="M230" t="s">
        <v>2</v>
      </c>
      <c r="N230" t="str">
        <f>IF(L230&lt;&gt;"",L230,"")</f>
        <v/>
      </c>
      <c r="O230" s="77"/>
      <c r="R230" s="73" t="s">
        <v>171</v>
      </c>
      <c r="U230" s="76"/>
      <c r="V230" t="s">
        <v>2</v>
      </c>
      <c r="W230" t="str">
        <f>IF(U230&lt;&gt;"",U230,"")</f>
        <v/>
      </c>
      <c r="X230" s="77"/>
      <c r="Y230" t="s">
        <v>2</v>
      </c>
    </row>
    <row r="231" spans="1:25">
      <c r="A231" s="73"/>
      <c r="F231" t="s">
        <v>112</v>
      </c>
      <c r="G231" s="77"/>
      <c r="H231" t="s">
        <v>2</v>
      </c>
      <c r="I231" s="73"/>
      <c r="N231" t="s">
        <v>112</v>
      </c>
      <c r="O231" s="77"/>
      <c r="R231" s="73"/>
      <c r="W231" t="s">
        <v>112</v>
      </c>
      <c r="X231" s="77"/>
      <c r="Y231" t="s">
        <v>2</v>
      </c>
    </row>
    <row r="232" ht="14.55" spans="1:25">
      <c r="A232" s="81"/>
      <c r="B232" s="67"/>
      <c r="C232" s="67"/>
      <c r="D232" s="67"/>
      <c r="E232" s="67"/>
      <c r="F232" s="67" t="str">
        <f>CONCATENATE("&lt;!-- ",D226," fin --&gt;")</f>
        <v>&lt;!--  fin --&gt;</v>
      </c>
      <c r="G232" s="82"/>
      <c r="H232" t="s">
        <v>2</v>
      </c>
      <c r="I232" s="81"/>
      <c r="J232" s="67"/>
      <c r="K232" s="67"/>
      <c r="L232" s="67"/>
      <c r="M232" s="67"/>
      <c r="N232" s="67" t="str">
        <f>CONCATENATE("&lt;!-- ",L226," fin --&gt;")</f>
        <v>&lt;!--  fin --&gt;</v>
      </c>
      <c r="O232" s="82"/>
      <c r="R232" s="81"/>
      <c r="S232" s="67"/>
      <c r="T232" s="67"/>
      <c r="U232" s="67"/>
      <c r="V232" s="67"/>
      <c r="W232" s="67" t="str">
        <f>CONCATENATE("&lt;!-- ",U226," fin --&gt;")</f>
        <v>&lt;!--  fin --&gt;</v>
      </c>
      <c r="X232" s="82"/>
      <c r="Y232" t="s">
        <v>2</v>
      </c>
    </row>
    <row r="233" ht="14.55" spans="1:23">
      <c r="A233" s="83"/>
      <c r="B233" s="69"/>
      <c r="C233" s="69"/>
      <c r="D233" s="84"/>
      <c r="E233" s="69"/>
      <c r="F233" s="67" t="str">
        <f>""</f>
        <v/>
      </c>
      <c r="I233" s="83"/>
      <c r="J233" s="69"/>
      <c r="K233" s="69"/>
      <c r="L233" s="84"/>
      <c r="M233" s="69"/>
      <c r="N233" s="67" t="str">
        <f>""</f>
        <v/>
      </c>
      <c r="R233" s="83"/>
      <c r="S233" s="69"/>
      <c r="T233" s="69"/>
      <c r="U233" s="84"/>
      <c r="V233" s="69"/>
      <c r="W233" s="67" t="str">
        <f>""</f>
        <v/>
      </c>
    </row>
    <row r="234" spans="1:25">
      <c r="A234" s="83" t="s">
        <v>203</v>
      </c>
      <c r="B234" s="69"/>
      <c r="C234" s="69"/>
      <c r="D234" s="70"/>
      <c r="E234" s="69" t="s">
        <v>2</v>
      </c>
      <c r="F234" s="69" t="str">
        <f>CONCATENATE("&lt;!-- ",D234," --&gt;")</f>
        <v>&lt;!--  --&gt;</v>
      </c>
      <c r="G234" s="72"/>
      <c r="H234" t="s">
        <v>2</v>
      </c>
      <c r="I234" s="83" t="s">
        <v>203</v>
      </c>
      <c r="J234" s="69"/>
      <c r="K234" s="69"/>
      <c r="L234" s="70"/>
      <c r="M234" s="69"/>
      <c r="N234" s="69" t="str">
        <f>CONCATENATE("&lt;!-- ",L234," --&gt;")</f>
        <v>&lt;!--  --&gt;</v>
      </c>
      <c r="O234" s="72"/>
      <c r="R234" s="83" t="str">
        <f>I234</f>
        <v>Título 19</v>
      </c>
      <c r="S234" s="69"/>
      <c r="T234" s="69"/>
      <c r="U234" s="70"/>
      <c r="V234" s="69"/>
      <c r="W234" s="69" t="str">
        <f>CONCATENATE("&lt;!-- ",U234," --&gt;")</f>
        <v>&lt;!--  --&gt;</v>
      </c>
      <c r="X234" s="72"/>
      <c r="Y234" t="s">
        <v>2</v>
      </c>
    </row>
    <row r="235" ht="14.4" spans="1:25">
      <c r="A235" s="73" t="s">
        <v>166</v>
      </c>
      <c r="B235" s="74" t="s">
        <v>167</v>
      </c>
      <c r="C235" s="75" t="s">
        <v>168</v>
      </c>
      <c r="F235" t="s">
        <v>90</v>
      </c>
      <c r="G235" s="77"/>
      <c r="I235" s="73" t="s">
        <v>166</v>
      </c>
      <c r="J235" s="74" t="s">
        <v>167</v>
      </c>
      <c r="K235" s="75" t="s">
        <v>168</v>
      </c>
      <c r="N235" t="str">
        <f>CONCATENATE(J235,L235,K235)</f>
        <v>&lt;div &gt;</v>
      </c>
      <c r="O235" s="77"/>
      <c r="R235" s="73" t="s">
        <v>166</v>
      </c>
      <c r="S235" s="74" t="s">
        <v>167</v>
      </c>
      <c r="T235" s="75" t="s">
        <v>168</v>
      </c>
      <c r="W235" t="str">
        <f>CONCATENATE(S235,U235,T235)</f>
        <v>&lt;div &gt;</v>
      </c>
      <c r="X235" s="77"/>
      <c r="Y235" t="s">
        <v>2</v>
      </c>
    </row>
    <row r="236" spans="1:25">
      <c r="A236" s="73"/>
      <c r="D236" s="76"/>
      <c r="E236" t="str">
        <f>CONCATENATE("id=",Comillas,D236,Comillas)</f>
        <v>id=""</v>
      </c>
      <c r="F236" t="str">
        <f>CONCATENATE("&lt;h3 ",E236,"&gt;",D234,"&lt;/h3&gt;")</f>
        <v>&lt;h3 id=""&gt;&lt;/h3&gt;</v>
      </c>
      <c r="G236" s="77"/>
      <c r="H236" t="s">
        <v>2</v>
      </c>
      <c r="I236" s="73"/>
      <c r="N236" t="str">
        <f>CONCATENATE("&lt;h4&gt;",L234,"&lt;/h4&gt;")</f>
        <v>&lt;h4&gt;&lt;/h4&gt;</v>
      </c>
      <c r="O236" s="77"/>
      <c r="R236" s="73"/>
      <c r="W236" t="str">
        <f>CONCATENATE("&lt;h5&gt;",U234,"&lt;/h5&gt;")</f>
        <v>&lt;h5&gt;&lt;/h5&gt;</v>
      </c>
      <c r="X236" s="77"/>
      <c r="Y236" t="s">
        <v>2</v>
      </c>
    </row>
    <row r="237" spans="1:25">
      <c r="A237" s="73"/>
      <c r="F237" t="str">
        <f>IF(D238&lt;&gt;"","&lt;p&gt;","")</f>
        <v/>
      </c>
      <c r="G237" s="77"/>
      <c r="H237" t="s">
        <v>2</v>
      </c>
      <c r="I237" s="73"/>
      <c r="N237" t="str">
        <f>IF(L238&lt;&gt;"","&lt;p&gt;","")</f>
        <v/>
      </c>
      <c r="O237" s="77"/>
      <c r="R237" s="73"/>
      <c r="W237" t="str">
        <f>IF(U238&lt;&gt;"","&lt;p&gt;","")</f>
        <v/>
      </c>
      <c r="X237" s="77"/>
      <c r="Y237" t="s">
        <v>2</v>
      </c>
    </row>
    <row r="238" spans="1:25">
      <c r="A238" s="73" t="s">
        <v>171</v>
      </c>
      <c r="D238" s="76"/>
      <c r="E238" t="s">
        <v>2</v>
      </c>
      <c r="F238" t="str">
        <f>IF(D238&lt;&gt;"",D238,"")</f>
        <v/>
      </c>
      <c r="G238" s="77"/>
      <c r="H238" t="s">
        <v>2</v>
      </c>
      <c r="I238" s="73" t="s">
        <v>171</v>
      </c>
      <c r="L238" s="76"/>
      <c r="M238" t="s">
        <v>2</v>
      </c>
      <c r="N238" t="str">
        <f>IF(L238&lt;&gt;"",L238,"")</f>
        <v/>
      </c>
      <c r="O238" s="77"/>
      <c r="R238" s="73" t="s">
        <v>171</v>
      </c>
      <c r="U238" s="76"/>
      <c r="V238" t="s">
        <v>2</v>
      </c>
      <c r="W238" t="str">
        <f>IF(U238&lt;&gt;"",U238,"")</f>
        <v/>
      </c>
      <c r="X238" s="77"/>
      <c r="Y238" t="s">
        <v>2</v>
      </c>
    </row>
    <row r="239" spans="1:25">
      <c r="A239" s="73"/>
      <c r="F239" t="s">
        <v>112</v>
      </c>
      <c r="G239" s="77"/>
      <c r="H239" t="s">
        <v>2</v>
      </c>
      <c r="I239" s="73"/>
      <c r="N239" t="s">
        <v>112</v>
      </c>
      <c r="O239" s="77"/>
      <c r="R239" s="73"/>
      <c r="W239" t="s">
        <v>112</v>
      </c>
      <c r="X239" s="77"/>
      <c r="Y239" t="s">
        <v>2</v>
      </c>
    </row>
    <row r="240" ht="14.55" spans="1:25">
      <c r="A240" s="81"/>
      <c r="B240" s="67"/>
      <c r="C240" s="67"/>
      <c r="D240" s="67"/>
      <c r="E240" s="67"/>
      <c r="F240" s="67" t="str">
        <f>CONCATENATE("&lt;!-- ",D234," fin --&gt;")</f>
        <v>&lt;!--  fin --&gt;</v>
      </c>
      <c r="G240" s="82"/>
      <c r="H240" t="s">
        <v>2</v>
      </c>
      <c r="I240" s="81"/>
      <c r="J240" s="67"/>
      <c r="K240" s="67"/>
      <c r="L240" s="67"/>
      <c r="M240" s="67"/>
      <c r="N240" s="67" t="str">
        <f>CONCATENATE("&lt;!-- ",L234," fin --&gt;")</f>
        <v>&lt;!--  fin --&gt;</v>
      </c>
      <c r="O240" s="82"/>
      <c r="R240" s="81"/>
      <c r="S240" s="67"/>
      <c r="T240" s="67"/>
      <c r="U240" s="67"/>
      <c r="V240" s="67"/>
      <c r="W240" s="67" t="str">
        <f>CONCATENATE("&lt;!-- ",U234," fin --&gt;")</f>
        <v>&lt;!--  fin --&gt;</v>
      </c>
      <c r="X240" s="82"/>
      <c r="Y240" t="s">
        <v>2</v>
      </c>
    </row>
    <row r="241" ht="14.55" spans="1:23">
      <c r="A241" s="83"/>
      <c r="B241" s="69"/>
      <c r="C241" s="69"/>
      <c r="D241" s="84"/>
      <c r="E241" s="69"/>
      <c r="F241" s="67" t="str">
        <f>""</f>
        <v/>
      </c>
      <c r="I241" s="83"/>
      <c r="J241" s="69"/>
      <c r="K241" s="69"/>
      <c r="L241" s="84"/>
      <c r="M241" s="69"/>
      <c r="N241" s="67" t="str">
        <f>""</f>
        <v/>
      </c>
      <c r="R241" s="83"/>
      <c r="S241" s="69"/>
      <c r="T241" s="69"/>
      <c r="U241" s="84"/>
      <c r="V241" s="69"/>
      <c r="W241" s="67" t="str">
        <f>""</f>
        <v/>
      </c>
    </row>
    <row r="242" spans="1:25">
      <c r="A242" s="83" t="s">
        <v>204</v>
      </c>
      <c r="B242" s="69"/>
      <c r="C242" s="69"/>
      <c r="D242" s="70"/>
      <c r="E242" s="69" t="s">
        <v>2</v>
      </c>
      <c r="F242" s="69" t="str">
        <f>CONCATENATE("&lt;!-- ",D242," --&gt;")</f>
        <v>&lt;!--  --&gt;</v>
      </c>
      <c r="G242" s="72"/>
      <c r="H242" t="s">
        <v>2</v>
      </c>
      <c r="I242" s="83" t="s">
        <v>204</v>
      </c>
      <c r="J242" s="69"/>
      <c r="K242" s="69"/>
      <c r="L242" s="70"/>
      <c r="M242" s="69"/>
      <c r="N242" s="69" t="str">
        <f>CONCATENATE("&lt;!-- ",L242," --&gt;")</f>
        <v>&lt;!--  --&gt;</v>
      </c>
      <c r="O242" s="72"/>
      <c r="R242" s="83" t="str">
        <f>I242</f>
        <v>Título 20</v>
      </c>
      <c r="S242" s="69"/>
      <c r="T242" s="69"/>
      <c r="U242" s="70"/>
      <c r="V242" s="69"/>
      <c r="W242" s="69" t="str">
        <f>CONCATENATE("&lt;!-- ",U242," --&gt;")</f>
        <v>&lt;!--  --&gt;</v>
      </c>
      <c r="X242" s="72"/>
      <c r="Y242" t="s">
        <v>2</v>
      </c>
    </row>
    <row r="243" ht="14.4" spans="1:25">
      <c r="A243" s="73" t="s">
        <v>166</v>
      </c>
      <c r="B243" s="74" t="s">
        <v>167</v>
      </c>
      <c r="C243" s="75" t="s">
        <v>168</v>
      </c>
      <c r="F243" t="s">
        <v>90</v>
      </c>
      <c r="G243" s="77"/>
      <c r="I243" s="73" t="s">
        <v>166</v>
      </c>
      <c r="J243" s="74" t="s">
        <v>167</v>
      </c>
      <c r="K243" s="75" t="s">
        <v>168</v>
      </c>
      <c r="N243" t="str">
        <f>CONCATENATE(J243,L243,K243)</f>
        <v>&lt;div &gt;</v>
      </c>
      <c r="O243" s="77"/>
      <c r="R243" s="73" t="s">
        <v>166</v>
      </c>
      <c r="S243" s="74" t="s">
        <v>167</v>
      </c>
      <c r="T243" s="75" t="s">
        <v>168</v>
      </c>
      <c r="W243" t="str">
        <f>CONCATENATE(S243,U243,T243)</f>
        <v>&lt;div &gt;</v>
      </c>
      <c r="X243" s="77"/>
      <c r="Y243" t="s">
        <v>2</v>
      </c>
    </row>
    <row r="244" spans="1:25">
      <c r="A244" s="73"/>
      <c r="D244" s="76"/>
      <c r="E244" t="str">
        <f>CONCATENATE("id=",Comillas,D244,Comillas)</f>
        <v>id=""</v>
      </c>
      <c r="F244" t="str">
        <f>CONCATENATE("&lt;h3 ",E244,"&gt;",D242,"&lt;/h3&gt;")</f>
        <v>&lt;h3 id=""&gt;&lt;/h3&gt;</v>
      </c>
      <c r="G244" s="77"/>
      <c r="H244" t="s">
        <v>2</v>
      </c>
      <c r="I244" s="73"/>
      <c r="N244" t="str">
        <f>CONCATENATE("&lt;h4&gt;",L242,"&lt;/h4&gt;")</f>
        <v>&lt;h4&gt;&lt;/h4&gt;</v>
      </c>
      <c r="O244" s="77"/>
      <c r="R244" s="73"/>
      <c r="W244" t="str">
        <f>CONCATENATE("&lt;h5&gt;",U242,"&lt;/h5&gt;")</f>
        <v>&lt;h5&gt;&lt;/h5&gt;</v>
      </c>
      <c r="X244" s="77"/>
      <c r="Y244" t="s">
        <v>2</v>
      </c>
    </row>
    <row r="245" spans="1:25">
      <c r="A245" s="73"/>
      <c r="F245" t="str">
        <f>IF(D246&lt;&gt;"","&lt;p&gt;","")</f>
        <v/>
      </c>
      <c r="G245" s="77"/>
      <c r="H245" t="s">
        <v>2</v>
      </c>
      <c r="I245" s="73"/>
      <c r="N245" t="str">
        <f>IF(L246&lt;&gt;"","&lt;p&gt;","")</f>
        <v/>
      </c>
      <c r="O245" s="77"/>
      <c r="R245" s="73"/>
      <c r="W245" t="str">
        <f>IF(U246&lt;&gt;"","&lt;p&gt;","")</f>
        <v/>
      </c>
      <c r="X245" s="77"/>
      <c r="Y245" t="s">
        <v>2</v>
      </c>
    </row>
    <row r="246" spans="1:25">
      <c r="A246" s="73" t="s">
        <v>171</v>
      </c>
      <c r="D246" s="76"/>
      <c r="E246" t="s">
        <v>2</v>
      </c>
      <c r="F246" t="str">
        <f>IF(D246&lt;&gt;"",D246,"")</f>
        <v/>
      </c>
      <c r="G246" s="77"/>
      <c r="H246" t="s">
        <v>2</v>
      </c>
      <c r="I246" s="73" t="s">
        <v>171</v>
      </c>
      <c r="L246" s="76"/>
      <c r="M246" t="s">
        <v>2</v>
      </c>
      <c r="N246" t="str">
        <f>IF(L246&lt;&gt;"",L246,"")</f>
        <v/>
      </c>
      <c r="O246" s="77"/>
      <c r="R246" s="73" t="s">
        <v>171</v>
      </c>
      <c r="U246" s="76"/>
      <c r="V246" t="s">
        <v>2</v>
      </c>
      <c r="W246" t="str">
        <f>IF(U246&lt;&gt;"",U246,"")</f>
        <v/>
      </c>
      <c r="X246" s="77"/>
      <c r="Y246" t="s">
        <v>2</v>
      </c>
    </row>
    <row r="247" spans="1:25">
      <c r="A247" s="73"/>
      <c r="F247" t="s">
        <v>112</v>
      </c>
      <c r="G247" s="77"/>
      <c r="H247" t="s">
        <v>2</v>
      </c>
      <c r="I247" s="73"/>
      <c r="N247" t="s">
        <v>112</v>
      </c>
      <c r="O247" s="77"/>
      <c r="R247" s="73"/>
      <c r="W247" t="s">
        <v>112</v>
      </c>
      <c r="X247" s="77"/>
      <c r="Y247" t="s">
        <v>2</v>
      </c>
    </row>
    <row r="248" ht="14.55" spans="1:25">
      <c r="A248" s="81"/>
      <c r="B248" s="67"/>
      <c r="C248" s="67"/>
      <c r="D248" s="67"/>
      <c r="E248" s="67"/>
      <c r="F248" s="67" t="str">
        <f>CONCATENATE("&lt;!-- ",D242," fin --&gt;")</f>
        <v>&lt;!--  fin --&gt;</v>
      </c>
      <c r="G248" s="82"/>
      <c r="H248" t="s">
        <v>2</v>
      </c>
      <c r="I248" s="81"/>
      <c r="J248" s="67"/>
      <c r="K248" s="67"/>
      <c r="L248" s="67"/>
      <c r="M248" s="67"/>
      <c r="N248" s="67" t="str">
        <f>CONCATENATE("&lt;!-- ",L242," fin --&gt;")</f>
        <v>&lt;!--  fin --&gt;</v>
      </c>
      <c r="O248" s="82"/>
      <c r="R248" s="81"/>
      <c r="S248" s="67"/>
      <c r="T248" s="67"/>
      <c r="U248" s="67"/>
      <c r="V248" s="67"/>
      <c r="W248" s="67" t="str">
        <f>CONCATENATE("&lt;!-- ",U242," fin --&gt;")</f>
        <v>&lt;!--  fin --&gt;</v>
      </c>
      <c r="X248" s="82"/>
      <c r="Y248" t="s">
        <v>2</v>
      </c>
    </row>
    <row r="249" ht="14.55" spans="1:23">
      <c r="A249" s="83"/>
      <c r="B249" s="69"/>
      <c r="C249" s="69"/>
      <c r="D249" s="84"/>
      <c r="E249" s="69"/>
      <c r="F249" s="67" t="str">
        <f>""</f>
        <v/>
      </c>
      <c r="I249" s="83"/>
      <c r="J249" s="69"/>
      <c r="K249" s="69"/>
      <c r="L249" s="84"/>
      <c r="M249" s="69"/>
      <c r="N249" s="67" t="str">
        <f>""</f>
        <v/>
      </c>
      <c r="R249" s="83"/>
      <c r="S249" s="69"/>
      <c r="T249" s="69"/>
      <c r="U249" s="84"/>
      <c r="V249" s="69"/>
      <c r="W249" s="67" t="str">
        <f>""</f>
        <v/>
      </c>
    </row>
    <row r="250" spans="1:25">
      <c r="A250" s="83" t="s">
        <v>205</v>
      </c>
      <c r="B250" s="69"/>
      <c r="C250" s="69"/>
      <c r="D250" s="70"/>
      <c r="E250" s="69" t="s">
        <v>2</v>
      </c>
      <c r="F250" s="69" t="str">
        <f>CONCATENATE("&lt;!-- ",D250," --&gt;")</f>
        <v>&lt;!--  --&gt;</v>
      </c>
      <c r="G250" s="72"/>
      <c r="H250" t="s">
        <v>2</v>
      </c>
      <c r="I250" s="83" t="s">
        <v>205</v>
      </c>
      <c r="J250" s="69"/>
      <c r="K250" s="69"/>
      <c r="L250" s="70"/>
      <c r="M250" s="69"/>
      <c r="N250" s="69" t="str">
        <f>CONCATENATE("&lt;!-- ",L250," --&gt;")</f>
        <v>&lt;!--  --&gt;</v>
      </c>
      <c r="O250" s="72"/>
      <c r="R250" s="83" t="str">
        <f>I250</f>
        <v>Título 21</v>
      </c>
      <c r="S250" s="69"/>
      <c r="T250" s="69"/>
      <c r="U250" s="70"/>
      <c r="V250" s="69"/>
      <c r="W250" s="69" t="str">
        <f>CONCATENATE("&lt;!-- ",U250," --&gt;")</f>
        <v>&lt;!--  --&gt;</v>
      </c>
      <c r="X250" s="72"/>
      <c r="Y250" t="s">
        <v>2</v>
      </c>
    </row>
    <row r="251" ht="14.4" spans="1:25">
      <c r="A251" s="73" t="s">
        <v>166</v>
      </c>
      <c r="B251" s="74" t="s">
        <v>167</v>
      </c>
      <c r="C251" s="75" t="s">
        <v>168</v>
      </c>
      <c r="F251" t="s">
        <v>90</v>
      </c>
      <c r="G251" s="77"/>
      <c r="I251" s="73" t="s">
        <v>166</v>
      </c>
      <c r="J251" s="74" t="s">
        <v>167</v>
      </c>
      <c r="K251" s="75" t="s">
        <v>168</v>
      </c>
      <c r="N251" t="str">
        <f>CONCATENATE(J251,L251,K251)</f>
        <v>&lt;div &gt;</v>
      </c>
      <c r="O251" s="77"/>
      <c r="R251" s="73" t="s">
        <v>166</v>
      </c>
      <c r="S251" s="74" t="s">
        <v>167</v>
      </c>
      <c r="T251" s="75" t="s">
        <v>168</v>
      </c>
      <c r="W251" t="str">
        <f>CONCATENATE(S251,U251,T251)</f>
        <v>&lt;div &gt;</v>
      </c>
      <c r="X251" s="77"/>
      <c r="Y251" t="s">
        <v>2</v>
      </c>
    </row>
    <row r="252" spans="1:25">
      <c r="A252" s="73"/>
      <c r="D252" s="76"/>
      <c r="E252" t="str">
        <f>CONCATENATE("id=",Comillas,D252,Comillas)</f>
        <v>id=""</v>
      </c>
      <c r="F252" t="str">
        <f>CONCATENATE("&lt;h3 ",E252,"&gt;",D250,"&lt;/h3&gt;")</f>
        <v>&lt;h3 id=""&gt;&lt;/h3&gt;</v>
      </c>
      <c r="G252" s="77"/>
      <c r="H252" t="s">
        <v>2</v>
      </c>
      <c r="I252" s="73"/>
      <c r="N252" t="str">
        <f>CONCATENATE("&lt;h4&gt;",L250,"&lt;/h4&gt;")</f>
        <v>&lt;h4&gt;&lt;/h4&gt;</v>
      </c>
      <c r="O252" s="77"/>
      <c r="R252" s="73"/>
      <c r="W252" t="str">
        <f>CONCATENATE("&lt;h5&gt;",U250,"&lt;/h5&gt;")</f>
        <v>&lt;h5&gt;&lt;/h5&gt;</v>
      </c>
      <c r="X252" s="77"/>
      <c r="Y252" t="s">
        <v>2</v>
      </c>
    </row>
    <row r="253" spans="1:25">
      <c r="A253" s="73"/>
      <c r="F253" t="str">
        <f>IF(D254&lt;&gt;"","&lt;p&gt;","")</f>
        <v/>
      </c>
      <c r="G253" s="77"/>
      <c r="H253" t="s">
        <v>2</v>
      </c>
      <c r="I253" s="73"/>
      <c r="N253" t="str">
        <f>IF(L254&lt;&gt;"","&lt;p&gt;","")</f>
        <v/>
      </c>
      <c r="O253" s="77"/>
      <c r="R253" s="73"/>
      <c r="W253" t="str">
        <f>IF(U254&lt;&gt;"","&lt;p&gt;","")</f>
        <v/>
      </c>
      <c r="X253" s="77"/>
      <c r="Y253" t="s">
        <v>2</v>
      </c>
    </row>
    <row r="254" spans="1:25">
      <c r="A254" s="73" t="s">
        <v>171</v>
      </c>
      <c r="D254" s="76"/>
      <c r="E254" t="s">
        <v>2</v>
      </c>
      <c r="F254" t="str">
        <f>IF(D254&lt;&gt;"",D254,"")</f>
        <v/>
      </c>
      <c r="G254" s="77"/>
      <c r="H254" t="s">
        <v>2</v>
      </c>
      <c r="I254" s="73" t="s">
        <v>171</v>
      </c>
      <c r="L254" s="76"/>
      <c r="M254" t="s">
        <v>2</v>
      </c>
      <c r="N254" t="str">
        <f>IF(L254&lt;&gt;"",L254,"")</f>
        <v/>
      </c>
      <c r="O254" s="77"/>
      <c r="R254" s="73" t="s">
        <v>171</v>
      </c>
      <c r="U254" s="76"/>
      <c r="V254" t="s">
        <v>2</v>
      </c>
      <c r="W254" t="str">
        <f>IF(U254&lt;&gt;"",U254,"")</f>
        <v/>
      </c>
      <c r="X254" s="77"/>
      <c r="Y254" t="s">
        <v>2</v>
      </c>
    </row>
    <row r="255" spans="1:25">
      <c r="A255" s="73"/>
      <c r="F255" t="s">
        <v>112</v>
      </c>
      <c r="G255" s="77"/>
      <c r="H255" t="s">
        <v>2</v>
      </c>
      <c r="I255" s="73"/>
      <c r="N255" t="s">
        <v>112</v>
      </c>
      <c r="O255" s="77"/>
      <c r="R255" s="73"/>
      <c r="W255" t="s">
        <v>112</v>
      </c>
      <c r="X255" s="77"/>
      <c r="Y255" t="s">
        <v>2</v>
      </c>
    </row>
    <row r="256" ht="14.55" spans="1:25">
      <c r="A256" s="81"/>
      <c r="B256" s="67"/>
      <c r="C256" s="67"/>
      <c r="D256" s="67"/>
      <c r="E256" s="67"/>
      <c r="F256" s="67" t="str">
        <f>CONCATENATE("&lt;!-- ",D250," fin --&gt;")</f>
        <v>&lt;!--  fin --&gt;</v>
      </c>
      <c r="G256" s="82"/>
      <c r="H256" t="s">
        <v>2</v>
      </c>
      <c r="I256" s="81"/>
      <c r="J256" s="67"/>
      <c r="K256" s="67"/>
      <c r="L256" s="67"/>
      <c r="M256" s="67"/>
      <c r="N256" s="67" t="str">
        <f>CONCATENATE("&lt;!-- ",L250," fin --&gt;")</f>
        <v>&lt;!--  fin --&gt;</v>
      </c>
      <c r="O256" s="82"/>
      <c r="R256" s="81"/>
      <c r="S256" s="67"/>
      <c r="T256" s="67"/>
      <c r="U256" s="67"/>
      <c r="V256" s="67"/>
      <c r="W256" s="67" t="str">
        <f>CONCATENATE("&lt;!-- ",U250," fin --&gt;")</f>
        <v>&lt;!--  fin --&gt;</v>
      </c>
      <c r="X256" s="82"/>
      <c r="Y256" t="s">
        <v>2</v>
      </c>
    </row>
    <row r="257" ht="14.55" spans="1:23">
      <c r="A257" s="83"/>
      <c r="B257" s="69"/>
      <c r="C257" s="69"/>
      <c r="D257" s="84"/>
      <c r="E257" s="69"/>
      <c r="F257" s="67" t="str">
        <f>""</f>
        <v/>
      </c>
      <c r="I257" s="83"/>
      <c r="J257" s="69"/>
      <c r="K257" s="69"/>
      <c r="L257" s="84"/>
      <c r="M257" s="69"/>
      <c r="N257" s="67" t="str">
        <f>""</f>
        <v/>
      </c>
      <c r="R257" s="83"/>
      <c r="S257" s="69"/>
      <c r="T257" s="69"/>
      <c r="U257" s="84"/>
      <c r="V257" s="69"/>
      <c r="W257" s="67" t="str">
        <f>""</f>
        <v/>
      </c>
    </row>
    <row r="258" spans="1:25">
      <c r="A258" s="83" t="s">
        <v>206</v>
      </c>
      <c r="B258" s="69"/>
      <c r="C258" s="69"/>
      <c r="D258" s="70"/>
      <c r="E258" s="69" t="s">
        <v>2</v>
      </c>
      <c r="F258" s="69" t="str">
        <f>CONCATENATE("&lt;!-- ",D258," --&gt;")</f>
        <v>&lt;!--  --&gt;</v>
      </c>
      <c r="G258" s="72"/>
      <c r="H258" t="s">
        <v>2</v>
      </c>
      <c r="I258" s="83" t="s">
        <v>206</v>
      </c>
      <c r="J258" s="69"/>
      <c r="K258" s="69"/>
      <c r="L258" s="70"/>
      <c r="M258" s="69"/>
      <c r="N258" s="69" t="str">
        <f>CONCATENATE("&lt;!-- ",L258," --&gt;")</f>
        <v>&lt;!--  --&gt;</v>
      </c>
      <c r="O258" s="72"/>
      <c r="R258" s="83" t="str">
        <f>I258</f>
        <v>Título 22</v>
      </c>
      <c r="S258" s="69"/>
      <c r="T258" s="69"/>
      <c r="U258" s="70"/>
      <c r="V258" s="69"/>
      <c r="W258" s="69" t="str">
        <f>CONCATENATE("&lt;!-- ",U258," --&gt;")</f>
        <v>&lt;!--  --&gt;</v>
      </c>
      <c r="X258" s="72"/>
      <c r="Y258" t="s">
        <v>2</v>
      </c>
    </row>
    <row r="259" ht="14.4" spans="1:25">
      <c r="A259" s="73" t="s">
        <v>166</v>
      </c>
      <c r="B259" s="74" t="s">
        <v>167</v>
      </c>
      <c r="C259" s="75" t="s">
        <v>168</v>
      </c>
      <c r="F259" t="s">
        <v>90</v>
      </c>
      <c r="G259" s="77"/>
      <c r="I259" s="73" t="s">
        <v>166</v>
      </c>
      <c r="J259" s="74" t="s">
        <v>167</v>
      </c>
      <c r="K259" s="75" t="s">
        <v>168</v>
      </c>
      <c r="N259" t="str">
        <f>CONCATENATE(J259,L259,K259)</f>
        <v>&lt;div &gt;</v>
      </c>
      <c r="O259" s="77"/>
      <c r="R259" s="73" t="s">
        <v>166</v>
      </c>
      <c r="S259" s="74" t="s">
        <v>167</v>
      </c>
      <c r="T259" s="75" t="s">
        <v>168</v>
      </c>
      <c r="W259" t="str">
        <f>CONCATENATE(S259,U259,T259)</f>
        <v>&lt;div &gt;</v>
      </c>
      <c r="X259" s="77"/>
      <c r="Y259" t="s">
        <v>2</v>
      </c>
    </row>
    <row r="260" spans="1:25">
      <c r="A260" s="73"/>
      <c r="D260" s="76"/>
      <c r="E260" t="str">
        <f>CONCATENATE("id=",Comillas,D260,Comillas)</f>
        <v>id=""</v>
      </c>
      <c r="F260" t="str">
        <f>CONCATENATE("&lt;h3 ",E260,"&gt;",D258,"&lt;/h3&gt;")</f>
        <v>&lt;h3 id=""&gt;&lt;/h3&gt;</v>
      </c>
      <c r="G260" s="77"/>
      <c r="H260" t="s">
        <v>2</v>
      </c>
      <c r="I260" s="73"/>
      <c r="N260" t="str">
        <f>CONCATENATE("&lt;h4&gt;",L258,"&lt;/h4&gt;")</f>
        <v>&lt;h4&gt;&lt;/h4&gt;</v>
      </c>
      <c r="O260" s="77"/>
      <c r="R260" s="73"/>
      <c r="W260" t="str">
        <f>CONCATENATE("&lt;h5&gt;",U258,"&lt;/h5&gt;")</f>
        <v>&lt;h5&gt;&lt;/h5&gt;</v>
      </c>
      <c r="X260" s="77"/>
      <c r="Y260" t="s">
        <v>2</v>
      </c>
    </row>
    <row r="261" spans="1:25">
      <c r="A261" s="73"/>
      <c r="F261" t="str">
        <f>IF(D262&lt;&gt;"","&lt;p&gt;","")</f>
        <v/>
      </c>
      <c r="G261" s="77"/>
      <c r="H261" t="s">
        <v>2</v>
      </c>
      <c r="I261" s="73"/>
      <c r="N261" t="str">
        <f>IF(L262&lt;&gt;"","&lt;p&gt;","")</f>
        <v/>
      </c>
      <c r="O261" s="77"/>
      <c r="R261" s="73"/>
      <c r="W261" t="str">
        <f>IF(U262&lt;&gt;"","&lt;p&gt;","")</f>
        <v/>
      </c>
      <c r="X261" s="77"/>
      <c r="Y261" t="s">
        <v>2</v>
      </c>
    </row>
    <row r="262" spans="1:25">
      <c r="A262" s="73" t="s">
        <v>171</v>
      </c>
      <c r="D262" s="76"/>
      <c r="E262" t="s">
        <v>2</v>
      </c>
      <c r="F262" t="str">
        <f>IF(D262&lt;&gt;"",D262,"")</f>
        <v/>
      </c>
      <c r="G262" s="77"/>
      <c r="H262" t="s">
        <v>2</v>
      </c>
      <c r="I262" s="73" t="s">
        <v>171</v>
      </c>
      <c r="L262" s="76"/>
      <c r="M262" t="s">
        <v>2</v>
      </c>
      <c r="N262" t="str">
        <f>IF(L262&lt;&gt;"",L262,"")</f>
        <v/>
      </c>
      <c r="O262" s="77"/>
      <c r="R262" s="73" t="s">
        <v>171</v>
      </c>
      <c r="U262" s="76"/>
      <c r="V262" t="s">
        <v>2</v>
      </c>
      <c r="W262" t="str">
        <f>IF(U262&lt;&gt;"",U262,"")</f>
        <v/>
      </c>
      <c r="X262" s="77"/>
      <c r="Y262" t="s">
        <v>2</v>
      </c>
    </row>
    <row r="263" spans="1:25">
      <c r="A263" s="73"/>
      <c r="F263" t="s">
        <v>112</v>
      </c>
      <c r="G263" s="77"/>
      <c r="H263" t="s">
        <v>2</v>
      </c>
      <c r="I263" s="73"/>
      <c r="N263" t="s">
        <v>112</v>
      </c>
      <c r="O263" s="77"/>
      <c r="R263" s="73"/>
      <c r="W263" t="s">
        <v>112</v>
      </c>
      <c r="X263" s="77"/>
      <c r="Y263" t="s">
        <v>2</v>
      </c>
    </row>
    <row r="264" ht="14.55" spans="1:25">
      <c r="A264" s="81"/>
      <c r="B264" s="67"/>
      <c r="C264" s="67"/>
      <c r="D264" s="67"/>
      <c r="E264" s="67"/>
      <c r="F264" s="67" t="str">
        <f>CONCATENATE("&lt;!-- ",D258," fin --&gt;")</f>
        <v>&lt;!--  fin --&gt;</v>
      </c>
      <c r="G264" s="82"/>
      <c r="H264" t="s">
        <v>2</v>
      </c>
      <c r="I264" s="81"/>
      <c r="J264" s="67"/>
      <c r="K264" s="67"/>
      <c r="L264" s="67"/>
      <c r="M264" s="67"/>
      <c r="N264" s="67" t="str">
        <f>CONCATENATE("&lt;!-- ",L258," fin --&gt;")</f>
        <v>&lt;!--  fin --&gt;</v>
      </c>
      <c r="O264" s="82"/>
      <c r="R264" s="81"/>
      <c r="S264" s="67"/>
      <c r="T264" s="67"/>
      <c r="U264" s="67"/>
      <c r="V264" s="67"/>
      <c r="W264" s="67" t="str">
        <f>CONCATENATE("&lt;!-- ",U258," fin --&gt;")</f>
        <v>&lt;!--  fin --&gt;</v>
      </c>
      <c r="X264" s="82"/>
      <c r="Y264" t="s">
        <v>2</v>
      </c>
    </row>
    <row r="265" ht="14.55" spans="4:23">
      <c r="D265" s="84"/>
      <c r="E265" s="69"/>
      <c r="F265" s="67" t="str">
        <f>""</f>
        <v/>
      </c>
      <c r="R265" s="83"/>
      <c r="S265" s="69"/>
      <c r="T265" s="69"/>
      <c r="U265" s="84"/>
      <c r="V265" s="69"/>
      <c r="W265" s="67" t="str">
        <f>""</f>
        <v/>
      </c>
    </row>
  </sheetData>
  <conditionalFormatting sqref="D19">
    <cfRule type="duplicateValues" dxfId="0" priority="7"/>
  </conditionalFormatting>
  <conditionalFormatting sqref="D27">
    <cfRule type="duplicateValues" dxfId="0" priority="6"/>
  </conditionalFormatting>
  <conditionalFormatting sqref="D35">
    <cfRule type="duplicateValues" dxfId="0" priority="5"/>
  </conditionalFormatting>
  <conditionalFormatting sqref="D43">
    <cfRule type="duplicateValues" dxfId="0" priority="4"/>
  </conditionalFormatting>
  <conditionalFormatting sqref="D51">
    <cfRule type="duplicateValues" dxfId="0" priority="3"/>
  </conditionalFormatting>
  <conditionalFormatting sqref="D59">
    <cfRule type="duplicateValues" dxfId="0" priority="2"/>
  </conditionalFormatting>
  <conditionalFormatting sqref="D65">
    <cfRule type="duplicateValues" dxfId="0" priority="11"/>
  </conditionalFormatting>
  <conditionalFormatting sqref="D67">
    <cfRule type="duplicateValues" dxfId="0" priority="1"/>
  </conditionalFormatting>
  <conditionalFormatting sqref="D73">
    <cfRule type="duplicateValues" dxfId="0" priority="10"/>
  </conditionalFormatting>
  <conditionalFormatting sqref="D10:D17">
    <cfRule type="duplicateValues" dxfId="0" priority="17"/>
  </conditionalFormatting>
  <conditionalFormatting sqref="D1:D9;D57;D74:D1048576">
    <cfRule type="duplicateValues" dxfId="0" priority="19"/>
  </conditionalFormatting>
  <conditionalFormatting sqref="D18;D20:D25">
    <cfRule type="duplicateValues" dxfId="0" priority="16"/>
  </conditionalFormatting>
  <conditionalFormatting sqref="D26;D28:D33">
    <cfRule type="duplicateValues" dxfId="0" priority="15"/>
  </conditionalFormatting>
  <conditionalFormatting sqref="D34;D36:D41">
    <cfRule type="duplicateValues" dxfId="0" priority="14"/>
  </conditionalFormatting>
  <conditionalFormatting sqref="D42;D44:D49">
    <cfRule type="duplicateValues" dxfId="0" priority="13"/>
  </conditionalFormatting>
  <conditionalFormatting sqref="D50;D52:D56">
    <cfRule type="duplicateValues" dxfId="0" priority="12"/>
  </conditionalFormatting>
  <conditionalFormatting sqref="D58;D60:D64">
    <cfRule type="duplicateValues" dxfId="0" priority="9"/>
  </conditionalFormatting>
  <conditionalFormatting sqref="D66;D68:D72">
    <cfRule type="duplicateValues" dxfId="0" priority="8"/>
  </conditionalFormatting>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B156"/>
  <sheetViews>
    <sheetView topLeftCell="F41" workbookViewId="0">
      <selection activeCell="G44" sqref="G44:G50"/>
    </sheetView>
  </sheetViews>
  <sheetFormatPr defaultColWidth="36.8" defaultRowHeight="13.8"/>
  <cols>
    <col min="1" max="5" width="36.8" hidden="1" customWidth="1"/>
    <col min="6" max="6" width="23.1" customWidth="1"/>
    <col min="7" max="7" width="36.8" customWidth="1"/>
    <col min="8" max="8" width="27.1" customWidth="1"/>
    <col min="9" max="9" width="19.3" customWidth="1"/>
    <col min="10" max="16384" width="36.8" customWidth="1"/>
  </cols>
  <sheetData>
    <row r="1" s="36" customFormat="1" ht="14.55" spans="7:18">
      <c r="G1" s="36" t="s">
        <v>207</v>
      </c>
      <c r="R1" s="44"/>
    </row>
    <row r="2" s="36" customFormat="1" ht="14.55" spans="1:18">
      <c r="A2" s="37"/>
      <c r="B2" s="38"/>
      <c r="C2" s="38"/>
      <c r="D2" s="38"/>
      <c r="E2" s="38"/>
      <c r="G2" s="39" t="s">
        <v>208</v>
      </c>
      <c r="H2" s="40"/>
      <c r="R2" s="44"/>
    </row>
    <row r="3" s="36" customFormat="1" spans="1:18">
      <c r="A3" s="41" t="str">
        <f t="shared" ref="A3:A19" si="0">IF(F3&lt;&gt;"","&lt;li&gt;&lt;strong&gt;","")</f>
        <v>&lt;li&gt;&lt;strong&gt;</v>
      </c>
      <c r="B3" s="41" t="str">
        <f>IF(F3&lt;&gt;"",LEFT(F3,FIND(":",F3,1)-1),"")</f>
        <v>Aplicación de estilos</v>
      </c>
      <c r="C3" s="41" t="str">
        <f t="shared" ref="C3:C21" si="1">IF(F3&lt;&gt;"","&lt;/strong&gt;","")</f>
        <v>&lt;/strong&gt;</v>
      </c>
      <c r="D3" s="41" t="str">
        <f>IF(F3&lt;&gt;"",RIGHT(F3,LEN(F3)-FIND(":",F3,1)),"")</f>
        <v> Cambiar el color, tamaño, fuente, o añadir efectos como subrayados a partes específicas del texto. Por ejemplo:</v>
      </c>
      <c r="E3" s="41" t="str">
        <f t="shared" ref="E3:E19" si="2">IF(F3&lt;&gt;"","&lt;/li&gt;","")</f>
        <v>&lt;/li&gt;</v>
      </c>
      <c r="F3" s="42" t="s">
        <v>209</v>
      </c>
      <c r="G3" s="43" t="str">
        <f>IF(F3&lt;&gt;"",CONCATENATE(A3,B3,C3,":",D3,E3),IF(F2&lt;&gt;"","&lt;/ul&gt;",""))</f>
        <v>&lt;li&gt;&lt;strong&gt;Aplicación de estilos&lt;/strong&gt;: Cambiar el color, tamaño, fuente, o añadir efectos como subrayados a partes específicas del texto. Por ejemplo:&lt;/li&gt;</v>
      </c>
      <c r="H3" s="44"/>
      <c r="I3" s="36" t="s">
        <v>2</v>
      </c>
      <c r="J3" s="36"/>
      <c r="Q3" s="46"/>
      <c r="R3" s="44"/>
    </row>
    <row r="4" s="36" customFormat="1" spans="1:18">
      <c r="A4" s="36" t="str">
        <f t="shared" si="0"/>
        <v>&lt;li&gt;&lt;strong&gt;</v>
      </c>
      <c r="B4" s="36" t="str">
        <f>IF(F4&lt;&gt;"",LEFT(F4,FIND(":",F4,1)-1),"")</f>
        <v>Manipulación con JavaScript</v>
      </c>
      <c r="C4" s="36" t="str">
        <f t="shared" si="1"/>
        <v>&lt;/strong&gt;</v>
      </c>
      <c r="D4" s="36" t="str">
        <f>IF(F4&lt;&gt;"",RIGHT(F4,LEN(F4)-FIND(":",F4,1)),"")</f>
        <v> Agrupar contenido para seleccionarlo y modificarlo dinámicamente, como cambiar texto o añadir eventos:</v>
      </c>
      <c r="E4" s="36" t="str">
        <f t="shared" si="2"/>
        <v>&lt;/li&gt;</v>
      </c>
      <c r="F4" s="45" t="s">
        <v>210</v>
      </c>
      <c r="G4" s="43" t="str">
        <f t="shared" ref="G4:G20" si="3">IF(F4&lt;&gt;"",CONCATENATE(A4,B4,C4,":",D4,E4),IF(F3&lt;&gt;"","&lt;/ul&gt;",""))</f>
        <v>&lt;li&gt;&lt;strong&gt;Manipulación con JavaScript&lt;/strong&gt;: Agrupar contenido para seleccionarlo y modificarlo dinámicamente, como cambiar texto o añadir eventos:&lt;/li&gt;</v>
      </c>
      <c r="H4" s="44"/>
      <c r="I4" s="36" t="s">
        <v>2</v>
      </c>
      <c r="J4" s="36"/>
      <c r="Q4" s="46"/>
      <c r="R4" s="44"/>
    </row>
    <row r="5" s="36" customFormat="1" spans="1:18">
      <c r="A5" s="36" t="str">
        <f t="shared" si="0"/>
        <v>&lt;li&gt;&lt;strong&gt;</v>
      </c>
      <c r="B5" s="36" t="str">
        <f>IF(F5&lt;&gt;"",LEFT(F5,FIND(":",F5,1)-1),"")</f>
        <v>Agrupación semántica</v>
      </c>
      <c r="C5" s="36" t="str">
        <f t="shared" si="1"/>
        <v>&lt;/strong&gt;</v>
      </c>
      <c r="D5" s="36" t="str">
        <f>IF(F5&lt;&gt;"",RIGHT(F5,LEN(F5)-FIND(":",F5,1)),"")</f>
        <v> Aunque no es semántico, puede usarse para agrupar contenido relacionado cuando no hay otra etiqueta más adecuada, como en accesibilidad con ARIA.</v>
      </c>
      <c r="E5" s="36" t="str">
        <f t="shared" si="2"/>
        <v>&lt;/li&gt;</v>
      </c>
      <c r="F5" s="45" t="s">
        <v>211</v>
      </c>
      <c r="G5" s="43" t="str">
        <f t="shared" si="3"/>
        <v>&lt;li&gt;&lt;strong&gt;Agrupación semántica&lt;/strong&gt;: Aunque no es semántico, puede usarse para agrupar contenido relacionado cuando no hay otra etiqueta más adecuada, como en accesibilidad con ARIA.&lt;/li&gt;</v>
      </c>
      <c r="H5" s="44"/>
      <c r="I5" s="36" t="s">
        <v>2</v>
      </c>
      <c r="J5" s="36"/>
      <c r="Q5" s="46"/>
      <c r="R5" s="44"/>
    </row>
    <row r="6" s="36" customFormat="1" spans="1:18">
      <c r="A6" s="36" t="str">
        <f t="shared" si="0"/>
        <v/>
      </c>
      <c r="B6" s="36" t="str">
        <f t="shared" ref="B3:B19" si="4">IF(F6&lt;&gt;"",LEFT(F6,FIND(":",F6,1)-1),"")</f>
        <v/>
      </c>
      <c r="C6" s="36" t="str">
        <f t="shared" si="1"/>
        <v/>
      </c>
      <c r="D6" s="36" t="str">
        <f t="shared" ref="D3:D19" si="5">IF(F6&lt;&gt;"",RIGHT(F6,LEN(F6)-FIND(":",F6,1)),"")</f>
        <v/>
      </c>
      <c r="E6" s="36" t="str">
        <f t="shared" si="2"/>
        <v/>
      </c>
      <c r="F6" s="45"/>
      <c r="G6" s="43" t="str">
        <f t="shared" si="3"/>
        <v>&lt;/ul&gt;</v>
      </c>
      <c r="H6" s="44"/>
      <c r="I6" s="36" t="s">
        <v>2</v>
      </c>
      <c r="J6" s="36"/>
      <c r="Q6" s="46"/>
      <c r="R6" s="44"/>
    </row>
    <row r="7" s="36" customFormat="1" spans="1:18">
      <c r="A7" s="36" t="str">
        <f t="shared" si="0"/>
        <v/>
      </c>
      <c r="B7" s="36" t="str">
        <f t="shared" si="4"/>
        <v/>
      </c>
      <c r="C7" s="36" t="str">
        <f t="shared" si="1"/>
        <v/>
      </c>
      <c r="D7" s="36" t="str">
        <f t="shared" si="5"/>
        <v/>
      </c>
      <c r="E7" s="36" t="str">
        <f t="shared" si="2"/>
        <v/>
      </c>
      <c r="F7" s="46"/>
      <c r="G7" s="43" t="str">
        <f t="shared" si="3"/>
        <v/>
      </c>
      <c r="H7" s="44"/>
      <c r="I7" s="36" t="s">
        <v>2</v>
      </c>
      <c r="J7" s="36"/>
      <c r="Q7" s="46"/>
      <c r="R7" s="44"/>
    </row>
    <row r="8" s="36" customFormat="1" spans="1:18">
      <c r="A8" s="36" t="str">
        <f t="shared" si="0"/>
        <v/>
      </c>
      <c r="B8" s="36" t="str">
        <f t="shared" si="4"/>
        <v/>
      </c>
      <c r="C8" s="36" t="str">
        <f t="shared" si="1"/>
        <v/>
      </c>
      <c r="D8" s="36" t="str">
        <f t="shared" si="5"/>
        <v/>
      </c>
      <c r="E8" s="36" t="str">
        <f t="shared" si="2"/>
        <v/>
      </c>
      <c r="F8" s="46"/>
      <c r="G8" s="43" t="str">
        <f t="shared" si="3"/>
        <v/>
      </c>
      <c r="H8" s="44"/>
      <c r="I8" s="36" t="s">
        <v>2</v>
      </c>
      <c r="Q8" s="46"/>
      <c r="R8" s="44"/>
    </row>
    <row r="9" s="36" customFormat="1" spans="1:18">
      <c r="A9" s="36" t="str">
        <f t="shared" si="0"/>
        <v/>
      </c>
      <c r="B9" s="36" t="str">
        <f t="shared" si="4"/>
        <v/>
      </c>
      <c r="C9" s="36" t="str">
        <f t="shared" si="1"/>
        <v/>
      </c>
      <c r="D9" s="36" t="str">
        <f t="shared" si="5"/>
        <v/>
      </c>
      <c r="E9" s="36" t="str">
        <f t="shared" si="2"/>
        <v/>
      </c>
      <c r="F9" s="46"/>
      <c r="G9" s="43" t="str">
        <f t="shared" si="3"/>
        <v/>
      </c>
      <c r="H9" s="44"/>
      <c r="I9" s="36" t="s">
        <v>2</v>
      </c>
      <c r="Q9" s="46"/>
      <c r="R9" s="44"/>
    </row>
    <row r="10" s="36" customFormat="1" spans="1:18">
      <c r="A10" s="36" t="str">
        <f t="shared" si="0"/>
        <v/>
      </c>
      <c r="B10" s="36" t="str">
        <f t="shared" si="4"/>
        <v/>
      </c>
      <c r="C10" s="36" t="str">
        <f t="shared" si="1"/>
        <v/>
      </c>
      <c r="D10" s="36" t="str">
        <f t="shared" si="5"/>
        <v/>
      </c>
      <c r="E10" s="36" t="str">
        <f t="shared" si="2"/>
        <v/>
      </c>
      <c r="F10" s="46"/>
      <c r="G10" s="43" t="str">
        <f t="shared" si="3"/>
        <v/>
      </c>
      <c r="H10" s="44"/>
      <c r="I10" s="36" t="s">
        <v>2</v>
      </c>
      <c r="Q10" s="46"/>
      <c r="R10" s="44"/>
    </row>
    <row r="11" s="36" customFormat="1" spans="1:18">
      <c r="A11" s="36" t="str">
        <f t="shared" si="0"/>
        <v/>
      </c>
      <c r="B11" s="36" t="str">
        <f t="shared" si="4"/>
        <v/>
      </c>
      <c r="C11" s="36" t="str">
        <f t="shared" si="1"/>
        <v/>
      </c>
      <c r="D11" s="36" t="str">
        <f t="shared" si="5"/>
        <v/>
      </c>
      <c r="E11" s="36" t="str">
        <f t="shared" si="2"/>
        <v/>
      </c>
      <c r="F11" s="46"/>
      <c r="G11" s="43" t="str">
        <f t="shared" si="3"/>
        <v/>
      </c>
      <c r="H11" s="44"/>
      <c r="I11" s="36" t="s">
        <v>2</v>
      </c>
      <c r="Q11" s="46"/>
      <c r="R11" s="44"/>
    </row>
    <row r="12" s="36" customFormat="1" spans="1:18">
      <c r="A12" s="36" t="str">
        <f t="shared" si="0"/>
        <v/>
      </c>
      <c r="B12" s="36" t="str">
        <f t="shared" si="4"/>
        <v/>
      </c>
      <c r="C12" s="36" t="str">
        <f t="shared" si="1"/>
        <v/>
      </c>
      <c r="D12" s="36" t="str">
        <f t="shared" si="5"/>
        <v/>
      </c>
      <c r="E12" s="36" t="str">
        <f t="shared" si="2"/>
        <v/>
      </c>
      <c r="F12" s="46"/>
      <c r="G12" s="43" t="str">
        <f t="shared" si="3"/>
        <v/>
      </c>
      <c r="H12" s="44"/>
      <c r="I12" s="36" t="s">
        <v>2</v>
      </c>
      <c r="Q12" s="46"/>
      <c r="R12" s="44"/>
    </row>
    <row r="13" s="36" customFormat="1" spans="1:18">
      <c r="A13" s="36" t="str">
        <f t="shared" si="0"/>
        <v/>
      </c>
      <c r="B13" s="36" t="str">
        <f t="shared" si="4"/>
        <v/>
      </c>
      <c r="C13" s="36" t="str">
        <f t="shared" si="1"/>
        <v/>
      </c>
      <c r="D13" s="36" t="str">
        <f t="shared" si="5"/>
        <v/>
      </c>
      <c r="E13" s="36" t="str">
        <f t="shared" si="2"/>
        <v/>
      </c>
      <c r="F13" s="46"/>
      <c r="G13" s="43" t="str">
        <f t="shared" si="3"/>
        <v/>
      </c>
      <c r="H13" s="44"/>
      <c r="I13" s="36" t="s">
        <v>2</v>
      </c>
      <c r="Q13" s="46"/>
      <c r="R13" s="44"/>
    </row>
    <row r="14" s="36" customFormat="1" spans="1:18">
      <c r="A14" s="36" t="str">
        <f t="shared" si="0"/>
        <v/>
      </c>
      <c r="B14" s="36" t="str">
        <f t="shared" si="4"/>
        <v/>
      </c>
      <c r="C14" s="36" t="str">
        <f t="shared" si="1"/>
        <v/>
      </c>
      <c r="D14" s="36" t="str">
        <f t="shared" si="5"/>
        <v/>
      </c>
      <c r="E14" s="36" t="str">
        <f t="shared" si="2"/>
        <v/>
      </c>
      <c r="F14" s="46"/>
      <c r="G14" s="43" t="str">
        <f t="shared" si="3"/>
        <v/>
      </c>
      <c r="H14" s="44"/>
      <c r="I14" s="36" t="s">
        <v>2</v>
      </c>
      <c r="Q14" s="46"/>
      <c r="R14" s="44"/>
    </row>
    <row r="15" s="36" customFormat="1" spans="1:18">
      <c r="A15" s="36" t="str">
        <f t="shared" si="0"/>
        <v/>
      </c>
      <c r="B15" s="36" t="str">
        <f t="shared" si="4"/>
        <v/>
      </c>
      <c r="C15" s="36" t="str">
        <f t="shared" si="1"/>
        <v/>
      </c>
      <c r="D15" s="36" t="str">
        <f t="shared" si="5"/>
        <v/>
      </c>
      <c r="E15" s="36" t="str">
        <f t="shared" si="2"/>
        <v/>
      </c>
      <c r="F15" s="46"/>
      <c r="G15" s="43" t="str">
        <f t="shared" si="3"/>
        <v/>
      </c>
      <c r="H15" s="44"/>
      <c r="I15" s="36" t="s">
        <v>2</v>
      </c>
      <c r="Q15" s="46"/>
      <c r="R15" s="44"/>
    </row>
    <row r="16" s="36" customFormat="1" spans="1:18">
      <c r="A16" s="36" t="str">
        <f t="shared" si="0"/>
        <v/>
      </c>
      <c r="B16" s="36" t="str">
        <f t="shared" si="4"/>
        <v/>
      </c>
      <c r="C16" s="36" t="str">
        <f t="shared" si="1"/>
        <v/>
      </c>
      <c r="D16" s="36" t="str">
        <f t="shared" si="5"/>
        <v/>
      </c>
      <c r="E16" s="36" t="str">
        <f t="shared" si="2"/>
        <v/>
      </c>
      <c r="F16" s="46"/>
      <c r="G16" s="43" t="str">
        <f t="shared" si="3"/>
        <v/>
      </c>
      <c r="H16" s="44"/>
      <c r="I16" s="36" t="s">
        <v>2</v>
      </c>
      <c r="Q16" s="46"/>
      <c r="R16" s="44"/>
    </row>
    <row r="17" s="36" customFormat="1" spans="1:18">
      <c r="A17" s="36" t="str">
        <f t="shared" si="0"/>
        <v/>
      </c>
      <c r="B17" s="36" t="str">
        <f t="shared" si="4"/>
        <v/>
      </c>
      <c r="C17" s="36" t="str">
        <f t="shared" si="1"/>
        <v/>
      </c>
      <c r="D17" s="36" t="str">
        <f t="shared" si="5"/>
        <v/>
      </c>
      <c r="E17" s="36" t="str">
        <f t="shared" si="2"/>
        <v/>
      </c>
      <c r="F17" s="46"/>
      <c r="G17" s="43" t="str">
        <f t="shared" si="3"/>
        <v/>
      </c>
      <c r="H17" s="44"/>
      <c r="I17" s="36" t="s">
        <v>2</v>
      </c>
      <c r="Q17" s="46"/>
      <c r="R17" s="44"/>
    </row>
    <row r="18" s="36" customFormat="1" ht="17.4" spans="1:18">
      <c r="A18" s="36" t="str">
        <f t="shared" si="0"/>
        <v/>
      </c>
      <c r="B18" s="36" t="str">
        <f t="shared" si="4"/>
        <v/>
      </c>
      <c r="C18" s="36" t="str">
        <f t="shared" si="1"/>
        <v/>
      </c>
      <c r="D18" s="36" t="str">
        <f t="shared" si="5"/>
        <v/>
      </c>
      <c r="E18" s="36" t="str">
        <f t="shared" si="2"/>
        <v/>
      </c>
      <c r="F18" s="46"/>
      <c r="G18" s="43" t="str">
        <f t="shared" si="3"/>
        <v/>
      </c>
      <c r="H18" s="44"/>
      <c r="I18" s="36" t="s">
        <v>2</v>
      </c>
      <c r="J18" s="53"/>
      <c r="Q18" s="46"/>
      <c r="R18" s="44"/>
    </row>
    <row r="19" s="36" customFormat="1" ht="14.55" spans="1:18">
      <c r="A19" s="47" t="str">
        <f t="shared" si="0"/>
        <v/>
      </c>
      <c r="B19" s="47" t="str">
        <f t="shared" si="4"/>
        <v/>
      </c>
      <c r="C19" s="47" t="str">
        <f t="shared" si="1"/>
        <v/>
      </c>
      <c r="D19" s="47" t="str">
        <f t="shared" si="5"/>
        <v/>
      </c>
      <c r="E19" s="47" t="str">
        <f t="shared" si="2"/>
        <v/>
      </c>
      <c r="F19" s="48"/>
      <c r="G19" s="43" t="str">
        <f t="shared" si="3"/>
        <v/>
      </c>
      <c r="H19" s="44"/>
      <c r="I19" s="36" t="s">
        <v>2</v>
      </c>
      <c r="Q19" s="48"/>
      <c r="R19" s="44"/>
    </row>
    <row r="20" s="36" customFormat="1" ht="14.55" spans="2:18">
      <c r="B20" s="38" t="s">
        <v>2</v>
      </c>
      <c r="C20" s="38" t="str">
        <f t="shared" si="1"/>
        <v/>
      </c>
      <c r="D20" s="38"/>
      <c r="E20" s="38"/>
      <c r="G20" s="49" t="str">
        <f t="shared" si="3"/>
        <v/>
      </c>
      <c r="H20" s="44"/>
      <c r="I20" s="36" t="s">
        <v>2</v>
      </c>
      <c r="Q20" s="46"/>
      <c r="R20" s="44"/>
    </row>
    <row r="21" s="36" customFormat="1" spans="2:18">
      <c r="B21" s="38"/>
      <c r="C21" s="38"/>
      <c r="D21" s="38"/>
      <c r="E21" s="38"/>
      <c r="Q21" s="55"/>
      <c r="R21" s="44"/>
    </row>
    <row r="22" s="36" customFormat="1" ht="14.55" spans="2:18">
      <c r="B22" s="38"/>
      <c r="C22" s="38"/>
      <c r="D22" s="38"/>
      <c r="E22" s="38"/>
      <c r="F22" s="38"/>
      <c r="G22" s="36" t="s">
        <v>212</v>
      </c>
      <c r="R22" s="44"/>
    </row>
    <row r="23" s="36" customFormat="1" ht="14.55" spans="1:18">
      <c r="A23" s="50"/>
      <c r="B23" s="38"/>
      <c r="C23" s="38"/>
      <c r="D23" s="38"/>
      <c r="E23" s="38"/>
      <c r="G23" s="39" t="s">
        <v>208</v>
      </c>
      <c r="H23" s="40"/>
      <c r="R23" s="44"/>
    </row>
    <row r="24" s="36" customFormat="1" spans="1:18">
      <c r="A24" s="50" t="str">
        <f t="shared" ref="A24:A40" si="6">IF(F24&lt;&gt;"","&lt;li&gt;&lt;b&gt;","")</f>
        <v>&lt;li&gt;&lt;b&gt;</v>
      </c>
      <c r="B24" s="41" t="str">
        <f t="shared" ref="B24:B40" si="7">IF(F24&lt;&gt;"",LEFT(F24,FIND(":",F24,1)-1),"")</f>
        <v>Usar aria-label para una lectura clara</v>
      </c>
      <c r="C24" s="41" t="str">
        <f t="shared" ref="C24:C40" si="8">IF(F24&lt;&gt;"","&lt;/b&gt;","")</f>
        <v>&lt;/b&gt;</v>
      </c>
      <c r="D24" s="41" t="str">
        <f t="shared" ref="D24:D40" si="9">IF(F24&lt;&gt;"",RIGHT(F24,LEN(F24)-FIND(":",F24,1)),"")</f>
        <v> Algunos lectores de pantalla pueden no interpretar correctamente el formato de fecha u hora. Se puede usar aria-label para proporcionar una lectura más clara.</v>
      </c>
      <c r="E24" s="41" t="str">
        <f t="shared" ref="E24:E40" si="10">IF(F24&lt;&gt;"","&lt;/li&gt;","")</f>
        <v>&lt;/li&gt;</v>
      </c>
      <c r="F24" s="42" t="s">
        <v>213</v>
      </c>
      <c r="G24" s="43" t="str">
        <f t="shared" ref="G24:G41" si="11">IF(F24&lt;&gt;"",CONCATENATE(A24,B24,C24,":",D24,E24),IF(F23&lt;&gt;"","&lt;/ul&gt;",""))</f>
        <v>&lt;li&gt;&lt;b&gt;Usar aria-label para una lectura clara&lt;/b&gt;: Algunos lectores de pantalla pueden no interpretar correctamente el formato de fecha u hora. Se puede usar aria-label para proporcionar una lectura más clara.&lt;/li&gt;</v>
      </c>
      <c r="H24" s="44"/>
      <c r="Q24" s="46"/>
      <c r="R24" s="44"/>
    </row>
    <row r="25" s="36" customFormat="1" spans="1:18">
      <c r="A25" s="37" t="str">
        <f t="shared" si="6"/>
        <v>&lt;li&gt;&lt;b&gt;</v>
      </c>
      <c r="B25" s="36" t="str">
        <f t="shared" si="7"/>
        <v>Indicar la duración de eventos con aria-live</v>
      </c>
      <c r="C25" s="36" t="str">
        <f t="shared" si="8"/>
        <v>&lt;/b&gt;</v>
      </c>
      <c r="D25" s="36" t="str">
        <f t="shared" si="9"/>
        <v> Si el tiempo cambia dinámicamente (por ejemplo, un temporizador), se recomienda usar aria-live para notificar el cambio.</v>
      </c>
      <c r="E25" s="36" t="str">
        <f t="shared" si="10"/>
        <v>&lt;/li&gt;</v>
      </c>
      <c r="F25" s="45" t="s">
        <v>214</v>
      </c>
      <c r="G25" s="43" t="str">
        <f t="shared" si="11"/>
        <v>&lt;li&gt;&lt;b&gt;Indicar la duración de eventos con aria-live&lt;/b&gt;: Si el tiempo cambia dinámicamente (por ejemplo, un temporizador), se recomienda usar aria-live para notificar el cambio.&lt;/li&gt;</v>
      </c>
      <c r="H25" s="44"/>
      <c r="Q25" s="46"/>
      <c r="R25" s="44"/>
    </row>
    <row r="26" s="36" customFormat="1" spans="1:18">
      <c r="A26" s="37" t="str">
        <f t="shared" si="6"/>
        <v>&lt;li&gt;&lt;b&gt;</v>
      </c>
      <c r="B26" s="36" t="str">
        <f t="shared" si="7"/>
        <v>Marcar fechas importantes con role="presentation" cuando sea necesario</v>
      </c>
      <c r="C26" s="36" t="str">
        <f t="shared" si="8"/>
        <v>&lt;/b&gt;</v>
      </c>
      <c r="D26" s="36" t="str">
        <f t="shared" si="9"/>
        <v> Si &lt;time&gt; se usa solo con fines visuales y no aporta valor semántico, se puede agregar role="presentation" para evitar que los lectores de pantalla lo procesen innecesariamente.</v>
      </c>
      <c r="E26" s="36" t="str">
        <f t="shared" si="10"/>
        <v>&lt;/li&gt;</v>
      </c>
      <c r="F26" s="45" t="s">
        <v>215</v>
      </c>
      <c r="G26" s="43" t="str">
        <f t="shared" si="11"/>
        <v>&lt;li&gt;&lt;b&gt;Marcar fechas importantes con role="presentation" cuando sea necesario&lt;/b&gt;: Si &lt;time&gt; se usa solo con fines visuales y no aporta valor semántico, se puede agregar role="presentation" para evitar que los lectores de pantalla lo procesen innecesariamente.&lt;/li&gt;</v>
      </c>
      <c r="H26" s="44"/>
      <c r="Q26" s="46"/>
      <c r="R26" s="44"/>
    </row>
    <row r="27" s="36" customFormat="1" spans="1:18">
      <c r="A27" s="37" t="str">
        <f t="shared" si="6"/>
        <v/>
      </c>
      <c r="B27" s="36" t="str">
        <f t="shared" si="7"/>
        <v/>
      </c>
      <c r="C27" s="36" t="str">
        <f t="shared" si="8"/>
        <v/>
      </c>
      <c r="D27" s="36" t="str">
        <f t="shared" si="9"/>
        <v/>
      </c>
      <c r="E27" s="36" t="str">
        <f t="shared" si="10"/>
        <v/>
      </c>
      <c r="F27" s="45"/>
      <c r="G27" s="43" t="str">
        <f t="shared" si="11"/>
        <v>&lt;/ul&gt;</v>
      </c>
      <c r="H27" s="44"/>
      <c r="Q27" s="46"/>
      <c r="R27" s="44"/>
    </row>
    <row r="28" s="36" customFormat="1" spans="1:18">
      <c r="A28" s="37" t="str">
        <f t="shared" si="6"/>
        <v/>
      </c>
      <c r="B28" s="36" t="str">
        <f t="shared" si="7"/>
        <v/>
      </c>
      <c r="C28" s="36" t="str">
        <f t="shared" si="8"/>
        <v/>
      </c>
      <c r="D28" s="36" t="str">
        <f t="shared" si="9"/>
        <v/>
      </c>
      <c r="E28" s="36" t="str">
        <f t="shared" si="10"/>
        <v/>
      </c>
      <c r="F28" s="45"/>
      <c r="G28" s="43" t="str">
        <f t="shared" si="11"/>
        <v/>
      </c>
      <c r="H28" s="44"/>
      <c r="Q28" s="46"/>
      <c r="R28" s="44"/>
    </row>
    <row r="29" s="36" customFormat="1" spans="1:18">
      <c r="A29" s="37" t="str">
        <f t="shared" si="6"/>
        <v/>
      </c>
      <c r="B29" s="36" t="str">
        <f t="shared" si="7"/>
        <v/>
      </c>
      <c r="C29" s="36" t="str">
        <f t="shared" si="8"/>
        <v/>
      </c>
      <c r="D29" s="36" t="str">
        <f t="shared" si="9"/>
        <v/>
      </c>
      <c r="E29" s="36" t="str">
        <f t="shared" si="10"/>
        <v/>
      </c>
      <c r="F29" s="45"/>
      <c r="G29" s="43" t="str">
        <f t="shared" si="11"/>
        <v/>
      </c>
      <c r="H29" s="44"/>
      <c r="Q29" s="46"/>
      <c r="R29" s="44"/>
    </row>
    <row r="30" s="36" customFormat="1" spans="1:18">
      <c r="A30" s="37" t="str">
        <f t="shared" si="6"/>
        <v/>
      </c>
      <c r="B30" s="36" t="str">
        <f t="shared" si="7"/>
        <v/>
      </c>
      <c r="C30" s="36" t="str">
        <f t="shared" si="8"/>
        <v/>
      </c>
      <c r="D30" s="36" t="str">
        <f t="shared" si="9"/>
        <v/>
      </c>
      <c r="E30" s="36" t="str">
        <f t="shared" si="10"/>
        <v/>
      </c>
      <c r="F30" s="45"/>
      <c r="G30" s="43" t="str">
        <f t="shared" si="11"/>
        <v/>
      </c>
      <c r="H30" s="44"/>
      <c r="Q30" s="46"/>
      <c r="R30" s="44"/>
    </row>
    <row r="31" s="36" customFormat="1" spans="1:18">
      <c r="A31" s="37" t="str">
        <f t="shared" si="6"/>
        <v/>
      </c>
      <c r="B31" s="36" t="str">
        <f t="shared" si="7"/>
        <v/>
      </c>
      <c r="C31" s="36" t="str">
        <f t="shared" si="8"/>
        <v/>
      </c>
      <c r="D31" s="36" t="str">
        <f t="shared" si="9"/>
        <v/>
      </c>
      <c r="E31" s="36" t="str">
        <f t="shared" si="10"/>
        <v/>
      </c>
      <c r="F31" s="45"/>
      <c r="G31" s="43" t="str">
        <f t="shared" si="11"/>
        <v/>
      </c>
      <c r="H31" s="44"/>
      <c r="Q31" s="46"/>
      <c r="R31" s="44"/>
    </row>
    <row r="32" s="36" customFormat="1" spans="1:18">
      <c r="A32" s="37" t="str">
        <f t="shared" si="6"/>
        <v/>
      </c>
      <c r="B32" s="36" t="str">
        <f t="shared" si="7"/>
        <v/>
      </c>
      <c r="C32" s="36" t="str">
        <f t="shared" si="8"/>
        <v/>
      </c>
      <c r="D32" s="36" t="str">
        <f t="shared" si="9"/>
        <v/>
      </c>
      <c r="E32" s="36" t="str">
        <f t="shared" si="10"/>
        <v/>
      </c>
      <c r="F32" s="45"/>
      <c r="G32" s="43" t="str">
        <f t="shared" si="11"/>
        <v/>
      </c>
      <c r="H32" s="44"/>
      <c r="Q32" s="46"/>
      <c r="R32" s="44"/>
    </row>
    <row r="33" s="36" customFormat="1" spans="1:18">
      <c r="A33" s="37" t="str">
        <f t="shared" si="6"/>
        <v/>
      </c>
      <c r="B33" s="36" t="str">
        <f t="shared" si="7"/>
        <v/>
      </c>
      <c r="C33" s="36" t="str">
        <f t="shared" si="8"/>
        <v/>
      </c>
      <c r="D33" s="36" t="str">
        <f t="shared" si="9"/>
        <v/>
      </c>
      <c r="E33" s="36" t="str">
        <f t="shared" si="10"/>
        <v/>
      </c>
      <c r="F33" s="45"/>
      <c r="G33" s="43" t="str">
        <f t="shared" si="11"/>
        <v/>
      </c>
      <c r="H33" s="44"/>
      <c r="Q33" s="46"/>
      <c r="R33" s="44"/>
    </row>
    <row r="34" s="36" customFormat="1" spans="1:18">
      <c r="A34" s="37" t="str">
        <f t="shared" si="6"/>
        <v/>
      </c>
      <c r="B34" s="36" t="str">
        <f t="shared" si="7"/>
        <v/>
      </c>
      <c r="C34" s="36" t="str">
        <f t="shared" si="8"/>
        <v/>
      </c>
      <c r="D34" s="36" t="str">
        <f t="shared" si="9"/>
        <v/>
      </c>
      <c r="E34" s="36" t="str">
        <f t="shared" si="10"/>
        <v/>
      </c>
      <c r="F34" s="45"/>
      <c r="G34" s="43" t="str">
        <f t="shared" si="11"/>
        <v/>
      </c>
      <c r="H34" s="44"/>
      <c r="Q34" s="46"/>
      <c r="R34" s="44"/>
    </row>
    <row r="35" s="36" customFormat="1" spans="1:18">
      <c r="A35" s="37" t="str">
        <f t="shared" si="6"/>
        <v/>
      </c>
      <c r="B35" s="36" t="str">
        <f t="shared" si="7"/>
        <v/>
      </c>
      <c r="C35" s="36" t="str">
        <f t="shared" si="8"/>
        <v/>
      </c>
      <c r="D35" s="36" t="str">
        <f t="shared" si="9"/>
        <v/>
      </c>
      <c r="E35" s="36" t="str">
        <f t="shared" si="10"/>
        <v/>
      </c>
      <c r="F35" s="45"/>
      <c r="G35" s="43" t="str">
        <f t="shared" si="11"/>
        <v/>
      </c>
      <c r="H35" s="44"/>
      <c r="Q35" s="46"/>
      <c r="R35" s="44"/>
    </row>
    <row r="36" s="36" customFormat="1" spans="1:18">
      <c r="A36" s="37" t="str">
        <f t="shared" si="6"/>
        <v/>
      </c>
      <c r="B36" s="36" t="str">
        <f t="shared" si="7"/>
        <v/>
      </c>
      <c r="C36" s="36" t="str">
        <f t="shared" si="8"/>
        <v/>
      </c>
      <c r="D36" s="36" t="str">
        <f t="shared" si="9"/>
        <v/>
      </c>
      <c r="E36" s="36" t="str">
        <f t="shared" si="10"/>
        <v/>
      </c>
      <c r="F36" s="45"/>
      <c r="G36" s="43" t="str">
        <f t="shared" si="11"/>
        <v/>
      </c>
      <c r="H36" s="44"/>
      <c r="Q36" s="46"/>
      <c r="R36" s="44"/>
    </row>
    <row r="37" s="36" customFormat="1" spans="1:18">
      <c r="A37" s="37" t="str">
        <f t="shared" si="6"/>
        <v/>
      </c>
      <c r="B37" s="36" t="str">
        <f t="shared" si="7"/>
        <v/>
      </c>
      <c r="C37" s="36" t="str">
        <f t="shared" si="8"/>
        <v/>
      </c>
      <c r="D37" s="36" t="str">
        <f t="shared" si="9"/>
        <v/>
      </c>
      <c r="E37" s="36" t="str">
        <f t="shared" si="10"/>
        <v/>
      </c>
      <c r="F37" s="45"/>
      <c r="G37" s="43" t="str">
        <f t="shared" si="11"/>
        <v/>
      </c>
      <c r="H37" s="44"/>
      <c r="Q37" s="46"/>
      <c r="R37" s="44"/>
    </row>
    <row r="38" s="36" customFormat="1" spans="1:18">
      <c r="A38" s="37" t="str">
        <f t="shared" si="6"/>
        <v/>
      </c>
      <c r="B38" s="36" t="str">
        <f t="shared" si="7"/>
        <v/>
      </c>
      <c r="C38" s="36" t="str">
        <f t="shared" si="8"/>
        <v/>
      </c>
      <c r="D38" s="36" t="str">
        <f t="shared" si="9"/>
        <v/>
      </c>
      <c r="E38" s="36" t="str">
        <f t="shared" si="10"/>
        <v/>
      </c>
      <c r="F38" s="45"/>
      <c r="G38" s="43" t="str">
        <f t="shared" si="11"/>
        <v/>
      </c>
      <c r="H38" s="44"/>
      <c r="Q38" s="46"/>
      <c r="R38" s="44"/>
    </row>
    <row r="39" s="36" customFormat="1" ht="17.4" spans="1:18">
      <c r="A39" s="37" t="str">
        <f t="shared" si="6"/>
        <v/>
      </c>
      <c r="B39" s="36" t="str">
        <f t="shared" si="7"/>
        <v/>
      </c>
      <c r="C39" s="36" t="str">
        <f t="shared" si="8"/>
        <v/>
      </c>
      <c r="D39" s="36" t="str">
        <f t="shared" si="9"/>
        <v/>
      </c>
      <c r="E39" s="36" t="str">
        <f t="shared" si="10"/>
        <v/>
      </c>
      <c r="F39" s="45"/>
      <c r="G39" s="43" t="str">
        <f t="shared" si="11"/>
        <v/>
      </c>
      <c r="H39" s="44"/>
      <c r="J39" s="53"/>
      <c r="Q39" s="46"/>
      <c r="R39" s="44"/>
    </row>
    <row r="40" s="36" customFormat="1" ht="14.55" spans="1:18">
      <c r="A40" s="51" t="str">
        <f t="shared" si="6"/>
        <v/>
      </c>
      <c r="B40" s="47" t="str">
        <f t="shared" si="7"/>
        <v/>
      </c>
      <c r="C40" s="47" t="str">
        <f t="shared" si="8"/>
        <v/>
      </c>
      <c r="D40" s="47" t="str">
        <f t="shared" si="9"/>
        <v/>
      </c>
      <c r="E40" s="47" t="str">
        <f t="shared" si="10"/>
        <v/>
      </c>
      <c r="F40" s="52"/>
      <c r="G40" s="43" t="str">
        <f t="shared" si="11"/>
        <v/>
      </c>
      <c r="H40" s="44"/>
      <c r="Q40" s="48"/>
      <c r="R40" s="44"/>
    </row>
    <row r="41" s="36" customFormat="1" ht="14.55" spans="2:18">
      <c r="B41" s="36" t="s">
        <v>2</v>
      </c>
      <c r="C41" s="36" t="str">
        <f>IF(F41&lt;&gt;"","&lt;/strong&gt;","")</f>
        <v/>
      </c>
      <c r="G41" s="49" t="str">
        <f t="shared" si="11"/>
        <v/>
      </c>
      <c r="H41" s="44"/>
      <c r="Q41" s="46"/>
      <c r="R41" s="44"/>
    </row>
    <row r="42" s="36" customFormat="1" ht="14.55" spans="3:18">
      <c r="C42" s="36" t="str">
        <f>IF(F42&lt;&gt;"","&lt;/strong&gt;","")</f>
        <v/>
      </c>
      <c r="Q42" s="48"/>
      <c r="R42" s="44"/>
    </row>
    <row r="43" s="36" customFormat="1" ht="14.55" spans="7:18">
      <c r="G43" s="36" t="s">
        <v>216</v>
      </c>
      <c r="R43" s="44"/>
    </row>
    <row r="44" s="36" customFormat="1" ht="14.55" spans="7:18">
      <c r="G44" s="39" t="s">
        <v>208</v>
      </c>
      <c r="H44" s="40"/>
      <c r="I44" s="36" t="s">
        <v>2</v>
      </c>
      <c r="J44" s="36"/>
      <c r="K44"/>
      <c r="R44" s="44"/>
    </row>
    <row r="45" s="36" customFormat="1" spans="1:18">
      <c r="A45" s="50" t="str">
        <f t="shared" ref="A45:A62" si="12">IF(F45&lt;&gt;"","&lt;li&gt;","")</f>
        <v>&lt;li&gt;</v>
      </c>
      <c r="B45" s="41" t="str">
        <f t="shared" ref="B45:B63" si="13">IF(F45&lt;&gt;"",CONCATENATE(A45,F45,C45),"")</f>
        <v>&lt;li&gt;&lt;mark&gt; (Sombrero amarillo): Imagina que el sombrero amarillo es algo que quieres "resaltar" o "marcar" como importante, como si lo subrayaras con un marcador fluorescente. En HTML, la etiqueta &lt;mark&gt; se usa para resaltar texto con un color de fondo, como un marcador. Es útil para llamar la atención sobre una parte específica de una frase.&lt;/li&gt;</v>
      </c>
      <c r="C45" s="41" t="str">
        <f t="shared" ref="C45:C63" si="14">IF(F45&lt;&gt;"","&lt;/li&gt;","")</f>
        <v>&lt;/li&gt;</v>
      </c>
      <c r="D45" s="41"/>
      <c r="E45" s="41" t="str">
        <f t="shared" ref="E45:E63" si="15">IF(F45&lt;&gt;"","&lt;/li&gt;","")</f>
        <v>&lt;/li&gt;</v>
      </c>
      <c r="F45" s="42" t="s">
        <v>217</v>
      </c>
      <c r="G45" s="43" t="str">
        <f t="shared" ref="G45:G63" si="16">IF(F45&lt;&gt;"",CONCATENATE(A45,F45,E45),IF(F44&lt;&gt;"","&lt;/ul&gt;",""))</f>
        <v>&lt;li&gt;&lt;mark&gt; (Sombrero amarillo): Imagina que el sombrero amarillo es algo que quieres "resaltar" o "marcar" como importante, como si lo subrayaras con un marcador fluorescente. En HTML, la etiqueta &lt;mark&gt; se usa para resaltar texto con un color de fondo, como un marcador. Es útil para llamar la atención sobre una parte específica de una frase.&lt;/li&gt;</v>
      </c>
      <c r="H45" s="44"/>
      <c r="I45" s="36" t="s">
        <v>2</v>
      </c>
      <c r="J45"/>
      <c r="K45" s="36"/>
      <c r="Q45" s="46"/>
      <c r="R45" s="44"/>
    </row>
    <row r="46" s="36" customFormat="1" spans="1:18">
      <c r="A46" s="37" t="str">
        <f t="shared" si="12"/>
        <v>&lt;li&gt;</v>
      </c>
      <c r="B46" s="36" t="str">
        <f t="shared" si="13"/>
        <v>&lt;li&gt;&lt;em&gt; (Boina marrón): La boina está sobre una prenda de ropa. La etiqueta &lt;em&gt; significa "énfasis" (de emphasis). Se usa para dar énfasis a una palabra o frase, generalmente mostrándola en cursiva. Es como cuando cambias el tono de voz para enfatizar algo que dices.&lt;/li&gt;</v>
      </c>
      <c r="C46" s="36" t="str">
        <f t="shared" si="14"/>
        <v>&lt;/li&gt;</v>
      </c>
      <c r="E46" s="36" t="str">
        <f t="shared" si="15"/>
        <v>&lt;/li&gt;</v>
      </c>
      <c r="F46" s="45" t="s">
        <v>218</v>
      </c>
      <c r="G46" s="43" t="str">
        <f t="shared" si="16"/>
        <v>&lt;li&gt;&lt;em&gt; (Boina marrón): La boina está sobre una prenda de ropa. La etiqueta &lt;em&gt; significa "énfasis" (de emphasis). Se usa para dar énfasis a una palabra o frase, generalmente mostrándola en cursiva. Es como cuando cambias el tono de voz para enfatizar algo que dices.&lt;/li&gt;</v>
      </c>
      <c r="H46" s="44"/>
      <c r="I46" s="36" t="s">
        <v>2</v>
      </c>
      <c r="J46" s="36"/>
      <c r="K46" s="36"/>
      <c r="Q46" s="46"/>
      <c r="R46" s="44"/>
    </row>
    <row r="47" s="36" customFormat="1" spans="1:18">
      <c r="A47" s="37" t="str">
        <f t="shared" si="12"/>
        <v>&lt;li&gt;</v>
      </c>
      <c r="B47" s="36" t="str">
        <f t="shared" si="13"/>
        <v>&lt;li&gt;&lt;strong&gt; (Chaqueta amarilla del hombre): La chaqueta amarilla que se está probando el hombre es muy llamativa y destaca. La etiqueta &lt;strong&gt; se usa para indicar que un texto tiene gran importancia o relevancia, y por defecto, los navegadores lo muestran en negrita. Es como cuando usas mayúsculas o gritas una palabra para que quede claro que es lo más importante.&lt;/li&gt;</v>
      </c>
      <c r="C47" s="36" t="str">
        <f t="shared" si="14"/>
        <v>&lt;/li&gt;</v>
      </c>
      <c r="E47" s="36" t="str">
        <f t="shared" si="15"/>
        <v>&lt;/li&gt;</v>
      </c>
      <c r="F47" s="45" t="s">
        <v>219</v>
      </c>
      <c r="G47" s="43" t="str">
        <f t="shared" si="16"/>
        <v>&lt;li&gt;&lt;strong&gt; (Chaqueta amarilla del hombre): La chaqueta amarilla que se está probando el hombre es muy llamativa y destaca. La etiqueta &lt;strong&gt; se usa para indicar que un texto tiene gran importancia o relevancia, y por defecto, los navegadores lo muestran en negrita. Es como cuando usas mayúsculas o gritas una palabra para que quede claro que es lo más importante.&lt;/li&gt;</v>
      </c>
      <c r="H47" s="44"/>
      <c r="I47" s="36" t="s">
        <v>2</v>
      </c>
      <c r="J47" s="54"/>
      <c r="Q47" s="46"/>
      <c r="R47" s="44"/>
    </row>
    <row r="48" s="36" customFormat="1" spans="1:18">
      <c r="A48" s="37" t="str">
        <f t="shared" si="12"/>
        <v>&lt;li&gt;</v>
      </c>
      <c r="B48" s="36" t="str">
        <f t="shared" si="13"/>
        <v>&lt;li&gt;&lt;del&gt; (Camiseta naranja): La camiseta naranja ya no es útil o se quisieras "desechar". La etiqueta &lt;del&gt; (de delete) se usa para indicar que un texto ha sido eliminado o ya no es válido, mostrándolo por defecto con una línea que lo tacha. Es útil cuando quieres mostrar un cambio, por ejemplo, un precio anterior que ha sido reemplazado por uno nuevo.&lt;/li&gt;</v>
      </c>
      <c r="C48" s="36" t="str">
        <f t="shared" si="14"/>
        <v>&lt;/li&gt;</v>
      </c>
      <c r="E48" s="36" t="str">
        <f t="shared" si="15"/>
        <v>&lt;/li&gt;</v>
      </c>
      <c r="F48" s="45" t="s">
        <v>220</v>
      </c>
      <c r="G48" s="43" t="str">
        <f t="shared" si="16"/>
        <v>&lt;li&gt;&lt;del&gt; (Camiseta naranja): La camiseta naranja ya no es útil o se quisieras "desechar". La etiqueta &lt;del&gt; (de delete) se usa para indicar que un texto ha sido eliminado o ya no es válido, mostrándolo por defecto con una línea que lo tacha. Es útil cuando quieres mostrar un cambio, por ejemplo, un precio anterior que ha sido reemplazado por uno nuevo.&lt;/li&gt;</v>
      </c>
      <c r="H48" s="44"/>
      <c r="I48" s="36" t="s">
        <v>2</v>
      </c>
      <c r="J48" s="54"/>
      <c r="K48" s="36"/>
      <c r="Q48" s="46"/>
      <c r="R48" s="44"/>
    </row>
    <row r="49" s="36" customFormat="1" spans="1:18">
      <c r="A49" s="37" t="str">
        <f t="shared" si="12"/>
        <v>&lt;li&gt;</v>
      </c>
      <c r="B49" s="36" t="str">
        <f t="shared" si="13"/>
        <v>&lt;li&gt;&lt;u&gt; (Corbata): La corbata está "subrayada" por su posición. La etiqueta &lt;u&gt; (de underline) se usa para subrayar texto. Aunque en la web es menos común usarla para subrayar por sí sola (ya que a menudo el subrayado indica un enlace), todavía puede usarse para propósitos estilísticos donde el significado de subrayado es relevante.&lt;/li&gt;</v>
      </c>
      <c r="C49" s="36" t="str">
        <f t="shared" si="14"/>
        <v>&lt;/li&gt;</v>
      </c>
      <c r="E49" s="36" t="str">
        <f t="shared" si="15"/>
        <v>&lt;/li&gt;</v>
      </c>
      <c r="F49" s="45" t="s">
        <v>221</v>
      </c>
      <c r="G49" s="43" t="str">
        <f t="shared" si="16"/>
        <v>&lt;li&gt;&lt;u&gt; (Corbata): La corbata está "subrayada" por su posición. La etiqueta &lt;u&gt; (de underline) se usa para subrayar texto. Aunque en la web es menos común usarla para subrayar por sí sola (ya que a menudo el subrayado indica un enlace), todavía puede usarse para propósitos estilísticos donde el significado de subrayado es relevante.&lt;/li&gt;</v>
      </c>
      <c r="H49" s="44"/>
      <c r="I49" s="36" t="s">
        <v>2</v>
      </c>
      <c r="J49" s="36"/>
      <c r="K49" s="36"/>
      <c r="Q49" s="46"/>
      <c r="R49" s="44"/>
    </row>
    <row r="50" s="36" customFormat="1" spans="1:18">
      <c r="A50" s="37" t="str">
        <f t="shared" si="12"/>
        <v/>
      </c>
      <c r="B50" s="36" t="str">
        <f t="shared" si="13"/>
        <v/>
      </c>
      <c r="C50" s="36" t="str">
        <f t="shared" si="14"/>
        <v/>
      </c>
      <c r="E50" s="36" t="str">
        <f t="shared" si="15"/>
        <v/>
      </c>
      <c r="F50" s="45"/>
      <c r="G50" s="43" t="str">
        <f t="shared" si="16"/>
        <v>&lt;/ul&gt;</v>
      </c>
      <c r="H50" s="44"/>
      <c r="I50" s="36" t="s">
        <v>2</v>
      </c>
      <c r="Q50" s="46"/>
      <c r="R50" s="44"/>
    </row>
    <row r="51" s="36" customFormat="1" spans="1:18">
      <c r="A51" s="37" t="str">
        <f t="shared" si="12"/>
        <v/>
      </c>
      <c r="B51" s="36" t="str">
        <f t="shared" si="13"/>
        <v/>
      </c>
      <c r="C51" s="36" t="str">
        <f t="shared" si="14"/>
        <v/>
      </c>
      <c r="E51" s="36" t="str">
        <f t="shared" si="15"/>
        <v/>
      </c>
      <c r="F51" s="45"/>
      <c r="G51" s="43" t="str">
        <f t="shared" si="16"/>
        <v/>
      </c>
      <c r="H51" s="44"/>
      <c r="I51" s="36" t="s">
        <v>2</v>
      </c>
      <c r="J51" s="36"/>
      <c r="Q51" s="46"/>
      <c r="R51" s="44"/>
    </row>
    <row r="52" s="36" customFormat="1" spans="1:18">
      <c r="A52" s="37" t="str">
        <f t="shared" si="12"/>
        <v/>
      </c>
      <c r="B52" s="36" t="str">
        <f t="shared" si="13"/>
        <v/>
      </c>
      <c r="C52" s="36" t="str">
        <f t="shared" si="14"/>
        <v/>
      </c>
      <c r="E52" s="36" t="str">
        <f t="shared" si="15"/>
        <v/>
      </c>
      <c r="F52" s="45"/>
      <c r="G52" s="43" t="str">
        <f t="shared" si="16"/>
        <v/>
      </c>
      <c r="H52" s="44"/>
      <c r="I52" s="36" t="s">
        <v>2</v>
      </c>
      <c r="Q52" s="46"/>
      <c r="R52" s="44"/>
    </row>
    <row r="53" s="36" customFormat="1" spans="1:18">
      <c r="A53" s="37" t="str">
        <f t="shared" si="12"/>
        <v/>
      </c>
      <c r="B53" s="36" t="str">
        <f t="shared" si="13"/>
        <v/>
      </c>
      <c r="C53" s="36" t="str">
        <f t="shared" si="14"/>
        <v/>
      </c>
      <c r="E53" s="36" t="str">
        <f t="shared" si="15"/>
        <v/>
      </c>
      <c r="F53" s="45"/>
      <c r="G53" s="43" t="str">
        <f t="shared" si="16"/>
        <v/>
      </c>
      <c r="H53" s="44"/>
      <c r="I53" s="36" t="s">
        <v>2</v>
      </c>
      <c r="J53" s="36"/>
      <c r="Q53" s="46"/>
      <c r="R53" s="44"/>
    </row>
    <row r="54" s="36" customFormat="1" spans="1:18">
      <c r="A54" s="37" t="str">
        <f t="shared" si="12"/>
        <v/>
      </c>
      <c r="B54" s="36" t="str">
        <f t="shared" si="13"/>
        <v/>
      </c>
      <c r="C54" s="36" t="str">
        <f t="shared" si="14"/>
        <v/>
      </c>
      <c r="E54" s="36" t="str">
        <f t="shared" si="15"/>
        <v/>
      </c>
      <c r="F54" s="45"/>
      <c r="G54" s="43" t="str">
        <f t="shared" si="16"/>
        <v/>
      </c>
      <c r="H54" s="44"/>
      <c r="I54" s="36" t="s">
        <v>2</v>
      </c>
      <c r="Q54" s="46"/>
      <c r="R54" s="44"/>
    </row>
    <row r="55" s="36" customFormat="1" spans="1:18">
      <c r="A55" s="37" t="str">
        <f t="shared" si="12"/>
        <v/>
      </c>
      <c r="B55" s="36" t="str">
        <f t="shared" si="13"/>
        <v/>
      </c>
      <c r="C55" s="36" t="str">
        <f t="shared" si="14"/>
        <v/>
      </c>
      <c r="E55" s="36" t="str">
        <f t="shared" si="15"/>
        <v/>
      </c>
      <c r="F55" s="45"/>
      <c r="G55" s="43" t="str">
        <f t="shared" si="16"/>
        <v/>
      </c>
      <c r="H55" s="44"/>
      <c r="I55" s="36" t="s">
        <v>2</v>
      </c>
      <c r="Q55" s="46"/>
      <c r="R55" s="44"/>
    </row>
    <row r="56" s="36" customFormat="1" spans="1:18">
      <c r="A56" s="37" t="str">
        <f t="shared" si="12"/>
        <v/>
      </c>
      <c r="B56" s="36" t="str">
        <f t="shared" si="13"/>
        <v/>
      </c>
      <c r="C56" s="36" t="str">
        <f t="shared" si="14"/>
        <v/>
      </c>
      <c r="E56" s="36" t="str">
        <f t="shared" si="15"/>
        <v/>
      </c>
      <c r="F56" s="45"/>
      <c r="G56" s="43" t="str">
        <f t="shared" si="16"/>
        <v/>
      </c>
      <c r="H56" s="44"/>
      <c r="I56" s="36" t="s">
        <v>2</v>
      </c>
      <c r="Q56" s="46"/>
      <c r="R56" s="44"/>
    </row>
    <row r="57" s="36" customFormat="1" spans="1:18">
      <c r="A57" s="37" t="str">
        <f t="shared" si="12"/>
        <v/>
      </c>
      <c r="B57" s="36" t="str">
        <f t="shared" si="13"/>
        <v/>
      </c>
      <c r="C57" s="36" t="str">
        <f t="shared" si="14"/>
        <v/>
      </c>
      <c r="E57" s="36" t="str">
        <f t="shared" si="15"/>
        <v/>
      </c>
      <c r="F57" s="45"/>
      <c r="G57" s="43" t="str">
        <f t="shared" si="16"/>
        <v/>
      </c>
      <c r="H57" s="44"/>
      <c r="I57" s="36" t="s">
        <v>2</v>
      </c>
      <c r="Q57" s="46"/>
      <c r="R57" s="44"/>
    </row>
    <row r="58" s="36" customFormat="1" spans="1:18">
      <c r="A58" s="37" t="str">
        <f t="shared" si="12"/>
        <v/>
      </c>
      <c r="B58" s="36" t="str">
        <f t="shared" si="13"/>
        <v/>
      </c>
      <c r="C58" s="36" t="str">
        <f t="shared" si="14"/>
        <v/>
      </c>
      <c r="E58" s="36" t="str">
        <f t="shared" si="15"/>
        <v/>
      </c>
      <c r="F58" s="45"/>
      <c r="G58" s="43" t="str">
        <f t="shared" si="16"/>
        <v/>
      </c>
      <c r="H58" s="44"/>
      <c r="I58" s="36" t="s">
        <v>2</v>
      </c>
      <c r="Q58" s="46"/>
      <c r="R58" s="44"/>
    </row>
    <row r="59" s="36" customFormat="1" spans="1:18">
      <c r="A59" s="37" t="str">
        <f t="shared" si="12"/>
        <v/>
      </c>
      <c r="B59" s="36" t="str">
        <f t="shared" si="13"/>
        <v/>
      </c>
      <c r="C59" s="36" t="str">
        <f t="shared" si="14"/>
        <v/>
      </c>
      <c r="E59" s="36" t="str">
        <f t="shared" si="15"/>
        <v/>
      </c>
      <c r="F59" s="45"/>
      <c r="G59" s="43" t="str">
        <f t="shared" si="16"/>
        <v/>
      </c>
      <c r="H59" s="44"/>
      <c r="I59" s="36" t="s">
        <v>2</v>
      </c>
      <c r="Q59" s="46"/>
      <c r="R59" s="44"/>
    </row>
    <row r="60" s="36" customFormat="1" spans="1:18">
      <c r="A60" s="37" t="str">
        <f t="shared" si="12"/>
        <v/>
      </c>
      <c r="B60" s="36" t="str">
        <f t="shared" si="13"/>
        <v/>
      </c>
      <c r="C60" s="36" t="str">
        <f t="shared" si="14"/>
        <v/>
      </c>
      <c r="E60" s="36" t="str">
        <f t="shared" si="15"/>
        <v/>
      </c>
      <c r="F60" s="45"/>
      <c r="G60" s="43" t="str">
        <f t="shared" si="16"/>
        <v/>
      </c>
      <c r="H60" s="44"/>
      <c r="I60" s="36" t="s">
        <v>2</v>
      </c>
      <c r="Q60" s="46"/>
      <c r="R60" s="44"/>
    </row>
    <row r="61" s="36" customFormat="1" ht="14.55" spans="1:18">
      <c r="A61" s="37" t="str">
        <f t="shared" si="12"/>
        <v/>
      </c>
      <c r="B61" s="36" t="str">
        <f t="shared" si="13"/>
        <v/>
      </c>
      <c r="C61" s="36" t="str">
        <f t="shared" si="14"/>
        <v/>
      </c>
      <c r="E61" s="36" t="str">
        <f t="shared" si="15"/>
        <v/>
      </c>
      <c r="F61" s="45"/>
      <c r="G61" s="43" t="str">
        <f t="shared" si="16"/>
        <v/>
      </c>
      <c r="H61" s="44"/>
      <c r="I61" s="36" t="s">
        <v>2</v>
      </c>
      <c r="Q61" s="48"/>
      <c r="R61" s="44"/>
    </row>
    <row r="62" s="36" customFormat="1" ht="14.55" spans="1:18">
      <c r="A62" s="51" t="str">
        <f t="shared" si="12"/>
        <v/>
      </c>
      <c r="B62" s="47" t="str">
        <f t="shared" si="13"/>
        <v/>
      </c>
      <c r="C62" s="47" t="str">
        <f t="shared" si="14"/>
        <v/>
      </c>
      <c r="D62" s="47"/>
      <c r="E62" s="47" t="str">
        <f t="shared" si="15"/>
        <v/>
      </c>
      <c r="F62" s="52"/>
      <c r="G62" s="43" t="str">
        <f t="shared" si="16"/>
        <v/>
      </c>
      <c r="H62" s="44"/>
      <c r="I62" s="36" t="s">
        <v>2</v>
      </c>
      <c r="Q62" s="46"/>
      <c r="R62" s="44"/>
    </row>
    <row r="63" s="36" customFormat="1" ht="14.55" spans="1:18">
      <c r="A63" s="36" t="str">
        <f>IF(F63&lt;&gt;"",$A$43,"")</f>
        <v/>
      </c>
      <c r="B63" s="36" t="str">
        <f t="shared" si="13"/>
        <v/>
      </c>
      <c r="C63" s="36" t="str">
        <f t="shared" si="14"/>
        <v/>
      </c>
      <c r="E63" s="36" t="str">
        <f t="shared" si="15"/>
        <v/>
      </c>
      <c r="G63" s="49" t="str">
        <f t="shared" si="16"/>
        <v/>
      </c>
      <c r="H63" s="44"/>
      <c r="I63" s="36" t="s">
        <v>2</v>
      </c>
      <c r="Q63" s="48"/>
      <c r="R63" s="44"/>
    </row>
    <row r="64" s="36" customFormat="1" spans="18:18">
      <c r="R64" s="44"/>
    </row>
    <row r="65" s="36" customFormat="1" ht="14.55" spans="7:18">
      <c r="G65" s="36" t="s">
        <v>222</v>
      </c>
      <c r="R65" s="44"/>
    </row>
    <row r="66" s="36" customFormat="1" ht="14.55" spans="1:18">
      <c r="A66" s="37"/>
      <c r="B66" s="38"/>
      <c r="C66" s="38"/>
      <c r="D66" s="38"/>
      <c r="E66" s="38"/>
      <c r="G66" s="39" t="s">
        <v>208</v>
      </c>
      <c r="H66" s="40"/>
      <c r="R66" s="44"/>
    </row>
    <row r="67" s="36" customFormat="1" spans="1:18">
      <c r="A67" s="41" t="str">
        <f t="shared" ref="A67:A83" si="17">IF(F67&lt;&gt;"","&lt;li&gt;&lt;code&gt;&amp;lt;","")</f>
        <v/>
      </c>
      <c r="B67" s="41" t="str">
        <f t="shared" ref="B67:B83" si="18">IF(F67&lt;&gt;"",LEFT(F67,FIND(":",F67,1)-1),"")</f>
        <v/>
      </c>
      <c r="C67" s="41" t="str">
        <f t="shared" ref="C67:C83" si="19">IF(F67&lt;&gt;"","&lt;/code&gt;","")</f>
        <v/>
      </c>
      <c r="D67" s="41" t="str">
        <f t="shared" ref="D67:D83" si="20">IF(F67&lt;&gt;"",RIGHT(F67,LEN(F67)-FIND(":",F67,1)),"")</f>
        <v/>
      </c>
      <c r="E67" s="41" t="str">
        <f t="shared" ref="E67:E83" si="21">IF(F67&lt;&gt;"","&lt;/li&gt;","")</f>
        <v/>
      </c>
      <c r="F67" s="45"/>
      <c r="G67" s="43" t="str">
        <f t="shared" ref="G67:G84" si="22">IF(F67&lt;&gt;"",CONCATENATE(A67,B67,,"&gt;",C67,":",D67,E67),IF(F66&lt;&gt;"","&lt;/ul&gt;",""))</f>
        <v/>
      </c>
      <c r="H67" s="44"/>
      <c r="R67" s="44"/>
    </row>
    <row r="68" s="36" customFormat="1" spans="1:18">
      <c r="A68" s="36" t="str">
        <f t="shared" si="17"/>
        <v/>
      </c>
      <c r="B68" s="36" t="str">
        <f t="shared" si="18"/>
        <v/>
      </c>
      <c r="C68" s="36" t="str">
        <f t="shared" si="19"/>
        <v/>
      </c>
      <c r="D68" s="36" t="str">
        <f t="shared" si="20"/>
        <v/>
      </c>
      <c r="E68" s="36" t="str">
        <f t="shared" si="21"/>
        <v/>
      </c>
      <c r="F68" s="45"/>
      <c r="G68" s="43" t="str">
        <f t="shared" si="22"/>
        <v/>
      </c>
      <c r="H68" s="44"/>
      <c r="R68" s="44"/>
    </row>
    <row r="69" s="36" customFormat="1" spans="1:18">
      <c r="A69" s="36" t="str">
        <f t="shared" si="17"/>
        <v/>
      </c>
      <c r="B69" s="36" t="str">
        <f t="shared" si="18"/>
        <v/>
      </c>
      <c r="C69" s="36" t="str">
        <f t="shared" si="19"/>
        <v/>
      </c>
      <c r="D69" s="36" t="str">
        <f t="shared" si="20"/>
        <v/>
      </c>
      <c r="E69" s="36" t="str">
        <f t="shared" si="21"/>
        <v/>
      </c>
      <c r="F69" s="45"/>
      <c r="G69" s="43" t="str">
        <f t="shared" si="22"/>
        <v/>
      </c>
      <c r="H69" s="44"/>
      <c r="R69" s="44"/>
    </row>
    <row r="70" s="36" customFormat="1" spans="1:18">
      <c r="A70" s="36" t="str">
        <f t="shared" si="17"/>
        <v/>
      </c>
      <c r="B70" s="36" t="str">
        <f t="shared" si="18"/>
        <v/>
      </c>
      <c r="C70" s="36" t="str">
        <f t="shared" si="19"/>
        <v/>
      </c>
      <c r="D70" s="36" t="str">
        <f t="shared" si="20"/>
        <v/>
      </c>
      <c r="E70" s="36" t="str">
        <f t="shared" si="21"/>
        <v/>
      </c>
      <c r="F70" s="45"/>
      <c r="G70" s="43" t="str">
        <f t="shared" si="22"/>
        <v/>
      </c>
      <c r="H70" s="44"/>
      <c r="R70" s="44"/>
    </row>
    <row r="71" s="36" customFormat="1" spans="1:18">
      <c r="A71" s="36" t="str">
        <f t="shared" si="17"/>
        <v/>
      </c>
      <c r="B71" s="36" t="str">
        <f t="shared" si="18"/>
        <v/>
      </c>
      <c r="C71" s="36" t="str">
        <f t="shared" si="19"/>
        <v/>
      </c>
      <c r="D71" s="36" t="str">
        <f t="shared" si="20"/>
        <v/>
      </c>
      <c r="E71" s="36" t="str">
        <f t="shared" si="21"/>
        <v/>
      </c>
      <c r="F71" s="45"/>
      <c r="G71" s="43" t="str">
        <f t="shared" si="22"/>
        <v/>
      </c>
      <c r="H71" s="44"/>
      <c r="R71" s="44"/>
    </row>
    <row r="72" s="36" customFormat="1" spans="1:18">
      <c r="A72" s="36" t="str">
        <f t="shared" si="17"/>
        <v/>
      </c>
      <c r="B72" s="36" t="str">
        <f t="shared" si="18"/>
        <v/>
      </c>
      <c r="C72" s="36" t="str">
        <f t="shared" si="19"/>
        <v/>
      </c>
      <c r="D72" s="36" t="str">
        <f t="shared" si="20"/>
        <v/>
      </c>
      <c r="E72" s="36" t="str">
        <f t="shared" si="21"/>
        <v/>
      </c>
      <c r="F72" s="45"/>
      <c r="G72" s="43" t="str">
        <f t="shared" si="22"/>
        <v/>
      </c>
      <c r="H72" s="44"/>
      <c r="R72" s="44"/>
    </row>
    <row r="73" s="36" customFormat="1" spans="1:18">
      <c r="A73" s="36" t="str">
        <f t="shared" si="17"/>
        <v/>
      </c>
      <c r="B73" s="36" t="str">
        <f t="shared" si="18"/>
        <v/>
      </c>
      <c r="C73" s="36" t="str">
        <f t="shared" si="19"/>
        <v/>
      </c>
      <c r="D73" s="36" t="str">
        <f t="shared" si="20"/>
        <v/>
      </c>
      <c r="E73" s="36" t="str">
        <f t="shared" si="21"/>
        <v/>
      </c>
      <c r="F73" s="45"/>
      <c r="G73" s="43" t="str">
        <f t="shared" si="22"/>
        <v/>
      </c>
      <c r="H73" s="44"/>
      <c r="R73" s="44"/>
    </row>
    <row r="74" s="36" customFormat="1" spans="1:18">
      <c r="A74" s="36" t="str">
        <f t="shared" si="17"/>
        <v/>
      </c>
      <c r="B74" s="36" t="str">
        <f t="shared" si="18"/>
        <v/>
      </c>
      <c r="C74" s="36" t="str">
        <f t="shared" si="19"/>
        <v/>
      </c>
      <c r="D74" s="36" t="str">
        <f t="shared" si="20"/>
        <v/>
      </c>
      <c r="E74" s="36" t="str">
        <f t="shared" si="21"/>
        <v/>
      </c>
      <c r="F74" s="45"/>
      <c r="G74" s="43" t="str">
        <f t="shared" si="22"/>
        <v/>
      </c>
      <c r="H74" s="44"/>
      <c r="R74" s="44"/>
    </row>
    <row r="75" s="36" customFormat="1" spans="1:18">
      <c r="A75" s="36" t="str">
        <f t="shared" si="17"/>
        <v/>
      </c>
      <c r="B75" s="36" t="str">
        <f t="shared" si="18"/>
        <v/>
      </c>
      <c r="C75" s="36" t="str">
        <f t="shared" si="19"/>
        <v/>
      </c>
      <c r="D75" s="36" t="str">
        <f t="shared" si="20"/>
        <v/>
      </c>
      <c r="E75" s="36" t="str">
        <f t="shared" si="21"/>
        <v/>
      </c>
      <c r="F75" s="45"/>
      <c r="G75" s="43" t="str">
        <f t="shared" si="22"/>
        <v/>
      </c>
      <c r="H75" s="44"/>
      <c r="R75" s="44"/>
    </row>
    <row r="76" s="36" customFormat="1" spans="1:18">
      <c r="A76" s="36" t="str">
        <f t="shared" si="17"/>
        <v/>
      </c>
      <c r="B76" s="36" t="str">
        <f t="shared" si="18"/>
        <v/>
      </c>
      <c r="C76" s="36" t="str">
        <f t="shared" si="19"/>
        <v/>
      </c>
      <c r="D76" s="36" t="str">
        <f t="shared" si="20"/>
        <v/>
      </c>
      <c r="E76" s="36" t="str">
        <f t="shared" si="21"/>
        <v/>
      </c>
      <c r="F76" s="45"/>
      <c r="G76" s="43" t="str">
        <f t="shared" si="22"/>
        <v/>
      </c>
      <c r="H76" s="44"/>
      <c r="R76" s="44"/>
    </row>
    <row r="77" s="36" customFormat="1" spans="1:18">
      <c r="A77" s="36" t="str">
        <f t="shared" si="17"/>
        <v/>
      </c>
      <c r="B77" s="36" t="str">
        <f t="shared" si="18"/>
        <v/>
      </c>
      <c r="C77" s="36" t="str">
        <f t="shared" si="19"/>
        <v/>
      </c>
      <c r="D77" s="36" t="str">
        <f t="shared" si="20"/>
        <v/>
      </c>
      <c r="E77" s="36" t="str">
        <f t="shared" si="21"/>
        <v/>
      </c>
      <c r="F77" s="45"/>
      <c r="G77" s="43" t="str">
        <f t="shared" si="22"/>
        <v/>
      </c>
      <c r="H77" s="44"/>
      <c r="R77" s="44"/>
    </row>
    <row r="78" s="36" customFormat="1" spans="1:18">
      <c r="A78" s="36" t="str">
        <f t="shared" si="17"/>
        <v/>
      </c>
      <c r="B78" s="36" t="str">
        <f t="shared" si="18"/>
        <v/>
      </c>
      <c r="C78" s="36" t="str">
        <f t="shared" si="19"/>
        <v/>
      </c>
      <c r="D78" s="36" t="str">
        <f t="shared" si="20"/>
        <v/>
      </c>
      <c r="E78" s="36" t="str">
        <f t="shared" si="21"/>
        <v/>
      </c>
      <c r="F78" s="45"/>
      <c r="G78" s="43" t="str">
        <f t="shared" si="22"/>
        <v/>
      </c>
      <c r="H78" s="44"/>
      <c r="R78" s="44"/>
    </row>
    <row r="79" s="36" customFormat="1" spans="1:18">
      <c r="A79" s="36" t="str">
        <f t="shared" si="17"/>
        <v/>
      </c>
      <c r="B79" s="36" t="str">
        <f t="shared" si="18"/>
        <v/>
      </c>
      <c r="C79" s="36" t="str">
        <f t="shared" si="19"/>
        <v/>
      </c>
      <c r="D79" s="36" t="str">
        <f t="shared" si="20"/>
        <v/>
      </c>
      <c r="E79" s="36" t="str">
        <f t="shared" si="21"/>
        <v/>
      </c>
      <c r="F79" s="45"/>
      <c r="G79" s="43" t="str">
        <f t="shared" si="22"/>
        <v/>
      </c>
      <c r="H79" s="44"/>
      <c r="R79" s="44"/>
    </row>
    <row r="80" s="36" customFormat="1" spans="1:18">
      <c r="A80" s="36" t="str">
        <f t="shared" si="17"/>
        <v/>
      </c>
      <c r="B80" s="36" t="str">
        <f t="shared" si="18"/>
        <v/>
      </c>
      <c r="C80" s="36" t="str">
        <f t="shared" si="19"/>
        <v/>
      </c>
      <c r="D80" s="36" t="str">
        <f t="shared" si="20"/>
        <v/>
      </c>
      <c r="E80" s="36" t="str">
        <f t="shared" si="21"/>
        <v/>
      </c>
      <c r="F80" s="45"/>
      <c r="G80" s="43" t="str">
        <f t="shared" si="22"/>
        <v/>
      </c>
      <c r="H80" s="44"/>
      <c r="R80" s="44"/>
    </row>
    <row r="81" s="36" customFormat="1" spans="1:18">
      <c r="A81" s="36" t="str">
        <f t="shared" si="17"/>
        <v/>
      </c>
      <c r="B81" s="36" t="str">
        <f t="shared" si="18"/>
        <v/>
      </c>
      <c r="C81" s="36" t="str">
        <f t="shared" si="19"/>
        <v/>
      </c>
      <c r="D81" s="36" t="str">
        <f t="shared" si="20"/>
        <v/>
      </c>
      <c r="E81" s="36" t="str">
        <f t="shared" si="21"/>
        <v/>
      </c>
      <c r="F81" s="45"/>
      <c r="G81" s="43" t="str">
        <f t="shared" si="22"/>
        <v/>
      </c>
      <c r="H81" s="44"/>
      <c r="R81" s="44"/>
    </row>
    <row r="82" s="36" customFormat="1" spans="1:18">
      <c r="A82" s="36" t="str">
        <f t="shared" si="17"/>
        <v/>
      </c>
      <c r="B82" s="36" t="str">
        <f t="shared" si="18"/>
        <v/>
      </c>
      <c r="C82" s="36" t="str">
        <f t="shared" si="19"/>
        <v/>
      </c>
      <c r="D82" s="36" t="str">
        <f t="shared" si="20"/>
        <v/>
      </c>
      <c r="E82" s="36" t="str">
        <f t="shared" si="21"/>
        <v/>
      </c>
      <c r="F82" s="45"/>
      <c r="G82" s="43" t="str">
        <f t="shared" si="22"/>
        <v/>
      </c>
      <c r="H82" s="44"/>
      <c r="R82" s="44"/>
    </row>
    <row r="83" s="36" customFormat="1" ht="14.55" spans="1:18">
      <c r="A83" s="47" t="str">
        <f t="shared" si="17"/>
        <v/>
      </c>
      <c r="B83" s="47" t="str">
        <f t="shared" si="18"/>
        <v/>
      </c>
      <c r="C83" s="47" t="str">
        <f t="shared" si="19"/>
        <v/>
      </c>
      <c r="D83" s="47" t="str">
        <f t="shared" si="20"/>
        <v/>
      </c>
      <c r="E83" s="47" t="str">
        <f t="shared" si="21"/>
        <v/>
      </c>
      <c r="F83" s="52"/>
      <c r="G83" s="43" t="str">
        <f t="shared" si="22"/>
        <v/>
      </c>
      <c r="H83" s="44"/>
      <c r="R83" s="44"/>
    </row>
    <row r="84" s="36" customFormat="1" spans="2:18">
      <c r="B84" s="38" t="s">
        <v>2</v>
      </c>
      <c r="C84" s="38" t="str">
        <f>IF(F84&lt;&gt;"","&lt;/strong&gt;","")</f>
        <v/>
      </c>
      <c r="D84" s="38"/>
      <c r="E84" s="38"/>
      <c r="G84" s="43" t="str">
        <f t="shared" si="22"/>
        <v/>
      </c>
      <c r="H84" s="44"/>
      <c r="R84" s="44"/>
    </row>
    <row r="85" s="36" customFormat="1" spans="18:18">
      <c r="R85" s="44"/>
    </row>
    <row r="86" s="36" customFormat="1" spans="18:18">
      <c r="R86" s="44"/>
    </row>
    <row r="87" spans="10:10">
      <c r="J87" s="36"/>
    </row>
    <row r="88" s="36" customFormat="1" ht="14.55" spans="7:18">
      <c r="G88" s="36" t="s">
        <v>216</v>
      </c>
      <c r="J88"/>
      <c r="R88" s="44"/>
    </row>
    <row r="89" s="36" customFormat="1" ht="14.55" spans="7:18">
      <c r="G89" s="39" t="s">
        <v>208</v>
      </c>
      <c r="H89" s="40"/>
      <c r="R89" s="44"/>
    </row>
    <row r="90" s="36" customFormat="1" spans="1:18">
      <c r="A90" s="50" t="str">
        <f t="shared" ref="A90:A96" si="23">IF(F90&lt;&gt;"","&lt;li&gt;","")</f>
        <v>&lt;li&gt;</v>
      </c>
      <c r="B90" s="41" t="str">
        <f t="shared" ref="B90:B96" si="24">IF(F90&lt;&gt;"",CONCATENATE(A90,F90,C90),"")</f>
        <v>&lt;li&gt;Es un elemento en línea, por lo tanto no inicia una nueva línea.&lt;/li&gt;</v>
      </c>
      <c r="C90" s="41" t="str">
        <f t="shared" ref="C90:C96" si="25">IF(F90&lt;&gt;"","&lt;/li&gt;","")</f>
        <v>&lt;/li&gt;</v>
      </c>
      <c r="D90" s="41"/>
      <c r="E90" s="41" t="str">
        <f t="shared" ref="E90:E96" si="26">IF(F90&lt;&gt;"","&lt;/li&gt;","")</f>
        <v>&lt;/li&gt;</v>
      </c>
      <c r="F90" s="42" t="s">
        <v>223</v>
      </c>
      <c r="G90" s="56" t="str">
        <f>IF(F90&lt;&gt;"",CONCATENATE(A90,F90,E90),IF(#REF!&lt;&gt;"","&lt;/ul&gt;",""))</f>
        <v>&lt;li&gt;Es un elemento en línea, por lo tanto no inicia una nueva línea.&lt;/li&gt;</v>
      </c>
      <c r="H90" s="44"/>
      <c r="J90"/>
      <c r="Q90" s="46"/>
      <c r="R90" s="44"/>
    </row>
    <row r="91" s="36" customFormat="1" spans="1:18">
      <c r="A91" s="37" t="str">
        <f t="shared" si="23"/>
        <v>&lt;li&gt;</v>
      </c>
      <c r="B91" s="36" t="str">
        <f t="shared" si="24"/>
        <v>&lt;li&gt;No tiene estilo visual propio por defecto.&lt;/li&gt;</v>
      </c>
      <c r="C91" s="36" t="str">
        <f t="shared" si="25"/>
        <v>&lt;/li&gt;</v>
      </c>
      <c r="E91" s="36" t="str">
        <f t="shared" si="26"/>
        <v>&lt;/li&gt;</v>
      </c>
      <c r="F91" s="45" t="s">
        <v>224</v>
      </c>
      <c r="G91" s="43" t="str">
        <f t="shared" ref="G90:G101" si="27">IF(F91&lt;&gt;"",CONCATENATE(A91,F91,E91),IF(F90&lt;&gt;"","&lt;/ul&gt;",""))</f>
        <v>&lt;li&gt;No tiene estilo visual propio por defecto.&lt;/li&gt;</v>
      </c>
      <c r="H91" s="44"/>
      <c r="J91"/>
      <c r="Q91" s="46"/>
      <c r="R91" s="44"/>
    </row>
    <row r="92" s="36" customFormat="1" spans="1:18">
      <c r="A92" s="37" t="str">
        <f t="shared" si="23"/>
        <v>&lt;li&gt;</v>
      </c>
      <c r="B92" s="36" t="str">
        <f t="shared" si="24"/>
        <v>&lt;li&gt;Se usa comúnmente con atributos como class, id, y style para aplicar estilos o comportamientos.&lt;/li&gt;</v>
      </c>
      <c r="C92" s="36" t="str">
        <f t="shared" si="25"/>
        <v>&lt;/li&gt;</v>
      </c>
      <c r="E92" s="36" t="str">
        <f t="shared" si="26"/>
        <v>&lt;/li&gt;</v>
      </c>
      <c r="F92" s="45" t="s">
        <v>225</v>
      </c>
      <c r="G92" s="43" t="str">
        <f t="shared" si="27"/>
        <v>&lt;li&gt;Se usa comúnmente con atributos como class, id, y style para aplicar estilos o comportamientos.&lt;/li&gt;</v>
      </c>
      <c r="H92" s="44"/>
      <c r="J92"/>
      <c r="Q92" s="46"/>
      <c r="R92" s="44"/>
    </row>
    <row r="93" s="36" customFormat="1" spans="1:18">
      <c r="A93" s="37" t="str">
        <f t="shared" si="23"/>
        <v>&lt;li&gt;</v>
      </c>
      <c r="B93" s="36" t="str">
        <f t="shared" si="24"/>
        <v>&lt;li&gt;No tiene un significado semántico específico (es decir, no describe el contenido que contiene).&lt;/li&gt;</v>
      </c>
      <c r="C93" s="36" t="str">
        <f t="shared" si="25"/>
        <v>&lt;/li&gt;</v>
      </c>
      <c r="E93" s="36" t="str">
        <f t="shared" si="26"/>
        <v>&lt;/li&gt;</v>
      </c>
      <c r="F93" s="45" t="s">
        <v>226</v>
      </c>
      <c r="G93" s="43" t="str">
        <f t="shared" si="27"/>
        <v>&lt;li&gt;No tiene un significado semántico específico (es decir, no describe el contenido que contiene).&lt;/li&gt;</v>
      </c>
      <c r="H93" s="44"/>
      <c r="J93"/>
      <c r="Q93" s="46"/>
      <c r="R93" s="44"/>
    </row>
    <row r="94" s="36" customFormat="1" spans="1:18">
      <c r="A94" s="37" t="str">
        <f t="shared" si="23"/>
        <v>&lt;li&gt;</v>
      </c>
      <c r="B94" s="36" t="str">
        <f t="shared" si="24"/>
        <v>&lt;li&gt;Es ligero y versátil, ideal para personalizar partes pequeñas del contenido, como una palabra o frase.&lt;/li&gt;</v>
      </c>
      <c r="C94" s="36" t="str">
        <f t="shared" si="25"/>
        <v>&lt;/li&gt;</v>
      </c>
      <c r="E94" s="36" t="str">
        <f t="shared" si="26"/>
        <v>&lt;/li&gt;</v>
      </c>
      <c r="F94" s="45" t="s">
        <v>227</v>
      </c>
      <c r="G94" s="43" t="str">
        <f t="shared" si="27"/>
        <v>&lt;li&gt;Es ligero y versátil, ideal para personalizar partes pequeñas del contenido, como una palabra o frase.&lt;/li&gt;</v>
      </c>
      <c r="H94" s="44"/>
      <c r="J94"/>
      <c r="Q94" s="46"/>
      <c r="R94" s="44"/>
    </row>
    <row r="95" s="36" customFormat="1" spans="1:18">
      <c r="A95" s="37" t="str">
        <f t="shared" si="23"/>
        <v>&lt;li&gt;</v>
      </c>
      <c r="B95" s="36" t="str">
        <f t="shared" si="24"/>
        <v>&lt;li&gt;La flexibilidad del elemento &lt;span&gt; se manifiesta en su capacidad para contener diversos tipos de contenido (texto plano, otros elementos inline como &lt;strong&gt;, &lt;em&gt;, &lt;a&gt;, pequeñas imágenes, iconos, y prácticamente cualquier elemento que no sea de tipo bloque).&lt;/li&gt;</v>
      </c>
      <c r="C95" s="36" t="str">
        <f t="shared" si="25"/>
        <v>&lt;/li&gt;</v>
      </c>
      <c r="E95" s="36" t="str">
        <f t="shared" si="26"/>
        <v>&lt;/li&gt;</v>
      </c>
      <c r="F95" s="45" t="s">
        <v>228</v>
      </c>
      <c r="G95" s="43" t="str">
        <f t="shared" si="27"/>
        <v>&lt;li&gt;La flexibilidad del elemento &lt;span&gt; se manifiesta en su capacidad para contener diversos tipos de contenido (texto plano, otros elementos inline como &lt;strong&gt;, &lt;em&gt;, &lt;a&gt;, pequeñas imágenes, iconos, y prácticamente cualquier elemento que no sea de tipo bloque).&lt;/li&gt;</v>
      </c>
      <c r="H95" s="44"/>
      <c r="Q95" s="46"/>
      <c r="R95" s="44"/>
    </row>
    <row r="96" s="36" customFormat="1" spans="1:18">
      <c r="A96" s="37" t="str">
        <f t="shared" si="23"/>
        <v/>
      </c>
      <c r="B96" s="36" t="str">
        <f t="shared" si="24"/>
        <v/>
      </c>
      <c r="C96" s="36" t="str">
        <f t="shared" si="25"/>
        <v/>
      </c>
      <c r="E96" s="36" t="str">
        <f t="shared" si="26"/>
        <v/>
      </c>
      <c r="F96" s="45"/>
      <c r="G96" s="43" t="str">
        <f t="shared" si="27"/>
        <v>&lt;/ul&gt;</v>
      </c>
      <c r="H96" s="44"/>
      <c r="Q96" s="46"/>
      <c r="R96" s="44"/>
    </row>
    <row r="97" s="36" customFormat="1" spans="1:18">
      <c r="A97" s="37" t="str">
        <f t="shared" ref="A97:A101" si="28">IF(F97&lt;&gt;"","&lt;li&gt;","")</f>
        <v/>
      </c>
      <c r="B97" s="36" t="str">
        <f t="shared" ref="B97:B101" si="29">IF(F97&lt;&gt;"",CONCATENATE(A97,F97,C97),"")</f>
        <v/>
      </c>
      <c r="C97" s="36" t="str">
        <f t="shared" ref="C97:C101" si="30">IF(F97&lt;&gt;"","&lt;/li&gt;","")</f>
        <v/>
      </c>
      <c r="E97" s="36" t="str">
        <f t="shared" ref="E97:E101" si="31">IF(F97&lt;&gt;"","&lt;/li&gt;","")</f>
        <v/>
      </c>
      <c r="F97" s="45"/>
      <c r="G97" s="43" t="str">
        <f t="shared" si="27"/>
        <v/>
      </c>
      <c r="H97" s="44"/>
      <c r="Q97" s="46"/>
      <c r="R97" s="44"/>
    </row>
    <row r="98" s="36" customFormat="1" spans="1:18">
      <c r="A98" s="37" t="str">
        <f t="shared" si="28"/>
        <v/>
      </c>
      <c r="B98" s="36" t="str">
        <f t="shared" si="29"/>
        <v/>
      </c>
      <c r="C98" s="36" t="str">
        <f t="shared" si="30"/>
        <v/>
      </c>
      <c r="E98" s="36" t="str">
        <f t="shared" si="31"/>
        <v/>
      </c>
      <c r="F98" s="45"/>
      <c r="G98" s="43" t="str">
        <f t="shared" si="27"/>
        <v/>
      </c>
      <c r="H98" s="44"/>
      <c r="Q98" s="46"/>
      <c r="R98" s="44"/>
    </row>
    <row r="99" s="36" customFormat="1" spans="1:18">
      <c r="A99" s="37" t="str">
        <f t="shared" si="28"/>
        <v/>
      </c>
      <c r="B99" s="36" t="str">
        <f t="shared" si="29"/>
        <v/>
      </c>
      <c r="C99" s="36" t="str">
        <f t="shared" si="30"/>
        <v/>
      </c>
      <c r="E99" s="36" t="str">
        <f t="shared" si="31"/>
        <v/>
      </c>
      <c r="F99" s="45"/>
      <c r="G99" s="43" t="str">
        <f t="shared" si="27"/>
        <v/>
      </c>
      <c r="H99" s="44"/>
      <c r="Q99" s="46"/>
      <c r="R99" s="44"/>
    </row>
    <row r="100" s="36" customFormat="1" spans="1:18">
      <c r="A100" s="37" t="str">
        <f t="shared" si="28"/>
        <v/>
      </c>
      <c r="B100" s="36" t="str">
        <f t="shared" si="29"/>
        <v/>
      </c>
      <c r="C100" s="36" t="str">
        <f t="shared" si="30"/>
        <v/>
      </c>
      <c r="E100" s="36" t="str">
        <f t="shared" si="31"/>
        <v/>
      </c>
      <c r="F100" s="45"/>
      <c r="G100" s="43" t="str">
        <f t="shared" si="27"/>
        <v/>
      </c>
      <c r="H100" s="44"/>
      <c r="Q100" s="55"/>
      <c r="R100" s="44"/>
    </row>
    <row r="101" s="36" customFormat="1" ht="14.55" spans="1:2576">
      <c r="A101" s="51" t="str">
        <f t="shared" si="28"/>
        <v/>
      </c>
      <c r="B101" s="47" t="str">
        <f t="shared" si="29"/>
        <v/>
      </c>
      <c r="C101" s="47" t="str">
        <f t="shared" si="30"/>
        <v/>
      </c>
      <c r="D101" s="47"/>
      <c r="E101" s="47" t="str">
        <f t="shared" si="31"/>
        <v/>
      </c>
      <c r="F101" s="52"/>
      <c r="G101" s="43" t="str">
        <f t="shared" si="27"/>
        <v/>
      </c>
      <c r="H101" s="57"/>
      <c r="I101" s="37"/>
      <c r="N101" s="45"/>
      <c r="O101" s="43"/>
      <c r="P101" s="37"/>
      <c r="U101" s="45"/>
      <c r="V101" s="43"/>
      <c r="W101" s="37"/>
      <c r="AB101" s="45"/>
      <c r="AC101" s="43"/>
      <c r="AD101" s="37"/>
      <c r="AI101" s="45"/>
      <c r="AJ101" s="43"/>
      <c r="AK101" s="37"/>
      <c r="AP101" s="45"/>
      <c r="AQ101" s="43"/>
      <c r="AR101" s="37"/>
      <c r="AW101" s="45"/>
      <c r="AX101" s="43"/>
      <c r="AY101" s="37"/>
      <c r="BD101" s="45"/>
      <c r="BE101" s="43"/>
      <c r="BF101" s="37"/>
      <c r="BK101" s="45"/>
      <c r="BL101" s="43"/>
      <c r="BM101" s="37"/>
      <c r="BR101" s="45"/>
      <c r="BS101" s="43"/>
      <c r="BT101" s="37"/>
      <c r="BY101" s="45"/>
      <c r="BZ101" s="43"/>
      <c r="CA101" s="37"/>
      <c r="CF101" s="45"/>
      <c r="CG101" s="43"/>
      <c r="CH101" s="37"/>
      <c r="CM101" s="45"/>
      <c r="CN101" s="43"/>
      <c r="CO101" s="37"/>
      <c r="CT101" s="45"/>
      <c r="CU101" s="43"/>
      <c r="CV101" s="37"/>
      <c r="DA101" s="45"/>
      <c r="DB101" s="43"/>
      <c r="DC101" s="37"/>
      <c r="DH101" s="45"/>
      <c r="DI101" s="43"/>
      <c r="DJ101" s="37"/>
      <c r="DO101" s="45"/>
      <c r="DP101" s="43"/>
      <c r="DQ101" s="37"/>
      <c r="DV101" s="45"/>
      <c r="DW101" s="43"/>
      <c r="DX101" s="37"/>
      <c r="EC101" s="45"/>
      <c r="ED101" s="43"/>
      <c r="EE101" s="37"/>
      <c r="EJ101" s="45"/>
      <c r="EK101" s="43"/>
      <c r="EL101" s="37"/>
      <c r="EQ101" s="45"/>
      <c r="ER101" s="43"/>
      <c r="ES101" s="37"/>
      <c r="EX101" s="45"/>
      <c r="EY101" s="43"/>
      <c r="EZ101" s="37"/>
      <c r="FE101" s="45"/>
      <c r="FF101" s="43"/>
      <c r="FG101" s="37"/>
      <c r="FL101" s="45"/>
      <c r="FM101" s="43"/>
      <c r="FN101" s="37"/>
      <c r="FS101" s="45"/>
      <c r="FT101" s="43"/>
      <c r="FU101" s="37"/>
      <c r="FZ101" s="45"/>
      <c r="GA101" s="43"/>
      <c r="GB101" s="37"/>
      <c r="GG101" s="45"/>
      <c r="GH101" s="43"/>
      <c r="GI101" s="37"/>
      <c r="GN101" s="45"/>
      <c r="GO101" s="43"/>
      <c r="GP101" s="37"/>
      <c r="GU101" s="45"/>
      <c r="GV101" s="43"/>
      <c r="GW101" s="37"/>
      <c r="HB101" s="45"/>
      <c r="HC101" s="43"/>
      <c r="HD101" s="37"/>
      <c r="HI101" s="45"/>
      <c r="HJ101" s="43"/>
      <c r="HK101" s="37"/>
      <c r="HP101" s="45"/>
      <c r="HQ101" s="43"/>
      <c r="HR101" s="37"/>
      <c r="HW101" s="45"/>
      <c r="HX101" s="43"/>
      <c r="HY101" s="37"/>
      <c r="ID101" s="45"/>
      <c r="IE101" s="43"/>
      <c r="IF101" s="37"/>
      <c r="IK101" s="45"/>
      <c r="IL101" s="43"/>
      <c r="IM101" s="37"/>
      <c r="IR101" s="45"/>
      <c r="IS101" s="43"/>
      <c r="IT101" s="37"/>
      <c r="IY101" s="45"/>
      <c r="IZ101" s="43"/>
      <c r="JA101" s="37"/>
      <c r="JF101" s="45"/>
      <c r="JG101" s="43"/>
      <c r="JH101" s="37"/>
      <c r="JM101" s="45"/>
      <c r="JN101" s="43"/>
      <c r="JO101" s="37"/>
      <c r="JT101" s="45"/>
      <c r="JU101" s="43"/>
      <c r="JV101" s="37"/>
      <c r="KA101" s="45"/>
      <c r="KB101" s="43"/>
      <c r="KC101" s="37"/>
      <c r="KH101" s="45"/>
      <c r="KI101" s="43"/>
      <c r="KJ101" s="37"/>
      <c r="KO101" s="45"/>
      <c r="KP101" s="43"/>
      <c r="KQ101" s="37"/>
      <c r="KV101" s="45"/>
      <c r="KW101" s="43"/>
      <c r="KX101" s="37"/>
      <c r="LC101" s="45"/>
      <c r="LD101" s="43"/>
      <c r="LE101" s="37"/>
      <c r="LJ101" s="45"/>
      <c r="LK101" s="43"/>
      <c r="LL101" s="37"/>
      <c r="LQ101" s="45"/>
      <c r="LR101" s="43"/>
      <c r="LS101" s="37"/>
      <c r="LX101" s="45"/>
      <c r="LY101" s="43"/>
      <c r="LZ101" s="37"/>
      <c r="ME101" s="45"/>
      <c r="MF101" s="43"/>
      <c r="MG101" s="37"/>
      <c r="ML101" s="45"/>
      <c r="MM101" s="43"/>
      <c r="MN101" s="37"/>
      <c r="MS101" s="45"/>
      <c r="MT101" s="43"/>
      <c r="MU101" s="37"/>
      <c r="MZ101" s="45"/>
      <c r="NA101" s="43"/>
      <c r="NB101" s="37"/>
      <c r="NG101" s="45"/>
      <c r="NH101" s="43"/>
      <c r="NI101" s="37"/>
      <c r="NN101" s="45"/>
      <c r="NO101" s="43"/>
      <c r="NP101" s="37"/>
      <c r="NU101" s="45"/>
      <c r="NV101" s="43"/>
      <c r="NW101" s="37"/>
      <c r="OB101" s="45"/>
      <c r="OC101" s="43"/>
      <c r="OD101" s="37"/>
      <c r="OI101" s="45"/>
      <c r="OJ101" s="43"/>
      <c r="OK101" s="37"/>
      <c r="OP101" s="45"/>
      <c r="OQ101" s="43"/>
      <c r="OR101" s="37"/>
      <c r="OW101" s="45"/>
      <c r="OX101" s="43"/>
      <c r="OY101" s="37"/>
      <c r="PD101" s="45"/>
      <c r="PE101" s="43"/>
      <c r="PF101" s="37"/>
      <c r="PK101" s="45"/>
      <c r="PL101" s="43"/>
      <c r="PM101" s="37"/>
      <c r="PR101" s="45"/>
      <c r="PS101" s="43"/>
      <c r="PT101" s="37"/>
      <c r="PY101" s="45"/>
      <c r="PZ101" s="43"/>
      <c r="QA101" s="37"/>
      <c r="QF101" s="45"/>
      <c r="QG101" s="43"/>
      <c r="QH101" s="37"/>
      <c r="QM101" s="45"/>
      <c r="QN101" s="43"/>
      <c r="QO101" s="37"/>
      <c r="QT101" s="45"/>
      <c r="QU101" s="43"/>
      <c r="QV101" s="37"/>
      <c r="RA101" s="45"/>
      <c r="RB101" s="43"/>
      <c r="RC101" s="37"/>
      <c r="RH101" s="45"/>
      <c r="RI101" s="43"/>
      <c r="RJ101" s="37"/>
      <c r="RO101" s="45"/>
      <c r="RP101" s="43"/>
      <c r="RQ101" s="37"/>
      <c r="RV101" s="45"/>
      <c r="RW101" s="43"/>
      <c r="RX101" s="37"/>
      <c r="SC101" s="45"/>
      <c r="SD101" s="43"/>
      <c r="SE101" s="37"/>
      <c r="SJ101" s="45"/>
      <c r="SK101" s="43"/>
      <c r="SL101" s="37"/>
      <c r="SQ101" s="45"/>
      <c r="SR101" s="43"/>
      <c r="SS101" s="37"/>
      <c r="SX101" s="45"/>
      <c r="SY101" s="43"/>
      <c r="SZ101" s="37"/>
      <c r="TE101" s="45"/>
      <c r="TF101" s="43"/>
      <c r="TG101" s="37"/>
      <c r="TL101" s="45"/>
      <c r="TM101" s="43"/>
      <c r="TN101" s="37"/>
      <c r="TS101" s="45"/>
      <c r="TT101" s="43"/>
      <c r="TU101" s="37"/>
      <c r="TZ101" s="45"/>
      <c r="UA101" s="43"/>
      <c r="UB101" s="37"/>
      <c r="UG101" s="45"/>
      <c r="UH101" s="43"/>
      <c r="UI101" s="37"/>
      <c r="UN101" s="45"/>
      <c r="UO101" s="43"/>
      <c r="UP101" s="37"/>
      <c r="UU101" s="45"/>
      <c r="UV101" s="43"/>
      <c r="UW101" s="37"/>
      <c r="VB101" s="45"/>
      <c r="VC101" s="43"/>
      <c r="VD101" s="37"/>
      <c r="VI101" s="45"/>
      <c r="VJ101" s="43"/>
      <c r="VK101" s="37"/>
      <c r="VP101" s="45"/>
      <c r="VQ101" s="43"/>
      <c r="VR101" s="37"/>
      <c r="VW101" s="45"/>
      <c r="VX101" s="43"/>
      <c r="VY101" s="37"/>
      <c r="WD101" s="45"/>
      <c r="WE101" s="43"/>
      <c r="WF101" s="37"/>
      <c r="WK101" s="45"/>
      <c r="WL101" s="43"/>
      <c r="WM101" s="37"/>
      <c r="WR101" s="45"/>
      <c r="WS101" s="43"/>
      <c r="WT101" s="37"/>
      <c r="WY101" s="45"/>
      <c r="WZ101" s="43"/>
      <c r="XA101" s="37"/>
      <c r="XF101" s="45"/>
      <c r="XG101" s="43"/>
      <c r="XH101" s="37"/>
      <c r="XM101" s="45"/>
      <c r="XN101" s="43"/>
      <c r="XO101" s="37"/>
      <c r="XT101" s="45"/>
      <c r="XU101" s="43"/>
      <c r="XV101" s="37"/>
      <c r="YA101" s="45"/>
      <c r="YB101" s="43"/>
      <c r="YC101" s="37"/>
      <c r="YH101" s="45"/>
      <c r="YI101" s="43"/>
      <c r="YJ101" s="37"/>
      <c r="YO101" s="45"/>
      <c r="YP101" s="43"/>
      <c r="YQ101" s="37"/>
      <c r="YV101" s="45"/>
      <c r="YW101" s="43"/>
      <c r="YX101" s="37"/>
      <c r="ZC101" s="45"/>
      <c r="ZD101" s="43"/>
      <c r="ZE101" s="37"/>
      <c r="ZJ101" s="45"/>
      <c r="ZK101" s="43"/>
      <c r="ZL101" s="37"/>
      <c r="ZQ101" s="45"/>
      <c r="ZR101" s="43"/>
      <c r="ZS101" s="37"/>
      <c r="ZX101" s="45"/>
      <c r="ZY101" s="43"/>
      <c r="ZZ101" s="37"/>
      <c r="AAE101" s="45"/>
      <c r="AAF101" s="43"/>
      <c r="AAG101" s="37"/>
      <c r="AAL101" s="45"/>
      <c r="AAM101" s="43"/>
      <c r="AAN101" s="37"/>
      <c r="AAS101" s="45"/>
      <c r="AAT101" s="43"/>
      <c r="AAU101" s="37"/>
      <c r="AAZ101" s="45"/>
      <c r="ABA101" s="43"/>
      <c r="ABB101" s="37"/>
      <c r="ABG101" s="45"/>
      <c r="ABH101" s="43"/>
      <c r="ABI101" s="37"/>
      <c r="ABN101" s="45"/>
      <c r="ABO101" s="43"/>
      <c r="ABP101" s="37"/>
      <c r="ABU101" s="45"/>
      <c r="ABV101" s="43"/>
      <c r="ABW101" s="37"/>
      <c r="ACB101" s="45"/>
      <c r="ACC101" s="43"/>
      <c r="ACD101" s="37"/>
      <c r="ACI101" s="45"/>
      <c r="ACJ101" s="43"/>
      <c r="ACK101" s="37"/>
      <c r="ACP101" s="45"/>
      <c r="ACQ101" s="43"/>
      <c r="ACR101" s="37"/>
      <c r="ACW101" s="45"/>
      <c r="ACX101" s="43"/>
      <c r="ACY101" s="37"/>
      <c r="ADD101" s="45"/>
      <c r="ADE101" s="43"/>
      <c r="ADF101" s="37"/>
      <c r="ADK101" s="45"/>
      <c r="ADL101" s="43"/>
      <c r="ADM101" s="37"/>
      <c r="ADR101" s="45"/>
      <c r="ADS101" s="43"/>
      <c r="ADT101" s="37"/>
      <c r="ADY101" s="45"/>
      <c r="ADZ101" s="43"/>
      <c r="AEA101" s="37"/>
      <c r="AEF101" s="45"/>
      <c r="AEG101" s="43"/>
      <c r="AEH101" s="37"/>
      <c r="AEM101" s="45"/>
      <c r="AEN101" s="43"/>
      <c r="AEO101" s="37"/>
      <c r="AET101" s="45"/>
      <c r="AEU101" s="43"/>
      <c r="AEV101" s="37"/>
      <c r="AFA101" s="45"/>
      <c r="AFB101" s="43"/>
      <c r="AFC101" s="37"/>
      <c r="AFH101" s="45"/>
      <c r="AFI101" s="43"/>
      <c r="AFJ101" s="37"/>
      <c r="AFO101" s="45"/>
      <c r="AFP101" s="43"/>
      <c r="AFQ101" s="37"/>
      <c r="AFV101" s="45"/>
      <c r="AFW101" s="43"/>
      <c r="AFX101" s="37"/>
      <c r="AGC101" s="45"/>
      <c r="AGD101" s="43"/>
      <c r="AGE101" s="37"/>
      <c r="AGJ101" s="45"/>
      <c r="AGK101" s="43"/>
      <c r="AGL101" s="37"/>
      <c r="AGQ101" s="45"/>
      <c r="AGR101" s="43"/>
      <c r="AGS101" s="37"/>
      <c r="AGX101" s="45"/>
      <c r="AGY101" s="43"/>
      <c r="AGZ101" s="37"/>
      <c r="AHE101" s="45"/>
      <c r="AHF101" s="43"/>
      <c r="AHG101" s="37"/>
      <c r="AHL101" s="45"/>
      <c r="AHM101" s="43"/>
      <c r="AHN101" s="37"/>
      <c r="AHS101" s="45"/>
      <c r="AHT101" s="43"/>
      <c r="AHU101" s="37"/>
      <c r="AHZ101" s="45"/>
      <c r="AIA101" s="43"/>
      <c r="AIB101" s="37"/>
      <c r="AIG101" s="45"/>
      <c r="AIH101" s="43"/>
      <c r="AII101" s="37"/>
      <c r="AIN101" s="45"/>
      <c r="AIO101" s="43"/>
      <c r="AIP101" s="37"/>
      <c r="AIU101" s="45"/>
      <c r="AIV101" s="43"/>
      <c r="AIW101" s="37"/>
      <c r="AJB101" s="45"/>
      <c r="AJC101" s="43"/>
      <c r="AJD101" s="37"/>
      <c r="AJI101" s="45"/>
      <c r="AJJ101" s="43"/>
      <c r="AJK101" s="37"/>
      <c r="AJP101" s="45"/>
      <c r="AJQ101" s="43"/>
      <c r="AJR101" s="37"/>
      <c r="AJW101" s="45"/>
      <c r="AJX101" s="43"/>
      <c r="AJY101" s="37"/>
      <c r="AKD101" s="45"/>
      <c r="AKE101" s="43"/>
      <c r="AKF101" s="37"/>
      <c r="AKK101" s="45"/>
      <c r="AKL101" s="43"/>
      <c r="AKM101" s="37"/>
      <c r="AKR101" s="45"/>
      <c r="AKS101" s="43"/>
      <c r="AKT101" s="37"/>
      <c r="AKY101" s="45"/>
      <c r="AKZ101" s="43"/>
      <c r="ALA101" s="37"/>
      <c r="ALF101" s="45"/>
      <c r="ALG101" s="43"/>
      <c r="ALH101" s="37"/>
      <c r="ALM101" s="45"/>
      <c r="ALN101" s="43"/>
      <c r="ALO101" s="37"/>
      <c r="ALT101" s="45"/>
      <c r="ALU101" s="43"/>
      <c r="ALV101" s="37"/>
      <c r="AMA101" s="45"/>
      <c r="AMB101" s="43"/>
      <c r="AMC101" s="37"/>
      <c r="AMH101" s="45"/>
      <c r="AMI101" s="43"/>
      <c r="AMJ101" s="37"/>
      <c r="AMO101" s="45"/>
      <c r="AMP101" s="43"/>
      <c r="AMQ101" s="37"/>
      <c r="AMV101" s="45"/>
      <c r="AMW101" s="43"/>
      <c r="AMX101" s="37"/>
      <c r="ANC101" s="45"/>
      <c r="AND101" s="43"/>
      <c r="ANE101" s="37"/>
      <c r="ANJ101" s="45"/>
      <c r="ANK101" s="43"/>
      <c r="ANL101" s="37"/>
      <c r="ANQ101" s="45"/>
      <c r="ANR101" s="43"/>
      <c r="ANS101" s="37"/>
      <c r="ANX101" s="45"/>
      <c r="ANY101" s="43"/>
      <c r="ANZ101" s="37"/>
      <c r="AOE101" s="45"/>
      <c r="AOF101" s="43"/>
      <c r="AOG101" s="37"/>
      <c r="AOL101" s="45"/>
      <c r="AOM101" s="43"/>
      <c r="AON101" s="37"/>
      <c r="AOS101" s="45"/>
      <c r="AOT101" s="43"/>
      <c r="AOU101" s="37"/>
      <c r="AOZ101" s="45"/>
      <c r="APA101" s="43"/>
      <c r="APB101" s="37"/>
      <c r="APG101" s="45"/>
      <c r="APH101" s="43"/>
      <c r="API101" s="37"/>
      <c r="APN101" s="45"/>
      <c r="APO101" s="43"/>
      <c r="APP101" s="37"/>
      <c r="APU101" s="45"/>
      <c r="APV101" s="43"/>
      <c r="APW101" s="37"/>
      <c r="AQB101" s="45"/>
      <c r="AQC101" s="43"/>
      <c r="AQD101" s="37"/>
      <c r="AQI101" s="45"/>
      <c r="AQJ101" s="43"/>
      <c r="AQK101" s="37"/>
      <c r="AQP101" s="45"/>
      <c r="AQQ101" s="43"/>
      <c r="AQR101" s="37"/>
      <c r="AQW101" s="45"/>
      <c r="AQX101" s="43"/>
      <c r="AQY101" s="37"/>
      <c r="ARD101" s="45"/>
      <c r="ARE101" s="43"/>
      <c r="ARF101" s="37"/>
      <c r="ARK101" s="45"/>
      <c r="ARL101" s="43"/>
      <c r="ARM101" s="37"/>
      <c r="ARR101" s="45"/>
      <c r="ARS101" s="43"/>
      <c r="ART101" s="37"/>
      <c r="ARY101" s="45"/>
      <c r="ARZ101" s="43"/>
      <c r="ASA101" s="37"/>
      <c r="ASF101" s="45"/>
      <c r="ASG101" s="43"/>
      <c r="ASH101" s="37"/>
      <c r="ASM101" s="45"/>
      <c r="ASN101" s="43"/>
      <c r="ASO101" s="37"/>
      <c r="AST101" s="45"/>
      <c r="ASU101" s="43"/>
      <c r="ASV101" s="37"/>
      <c r="ATA101" s="45"/>
      <c r="ATB101" s="43"/>
      <c r="ATC101" s="37"/>
      <c r="ATH101" s="45"/>
      <c r="ATI101" s="43"/>
      <c r="ATJ101" s="37"/>
      <c r="ATO101" s="45"/>
      <c r="ATP101" s="43"/>
      <c r="ATQ101" s="37"/>
      <c r="ATV101" s="45"/>
      <c r="ATW101" s="43"/>
      <c r="ATX101" s="37"/>
      <c r="AUC101" s="45"/>
      <c r="AUD101" s="43"/>
      <c r="AUE101" s="37"/>
      <c r="AUJ101" s="45"/>
      <c r="AUK101" s="43"/>
      <c r="AUL101" s="37"/>
      <c r="AUQ101" s="45"/>
      <c r="AUR101" s="43"/>
      <c r="AUS101" s="37"/>
      <c r="AUX101" s="45"/>
      <c r="AUY101" s="43"/>
      <c r="AUZ101" s="37"/>
      <c r="AVE101" s="45"/>
      <c r="AVF101" s="43"/>
      <c r="AVG101" s="37"/>
      <c r="AVL101" s="45"/>
      <c r="AVM101" s="43"/>
      <c r="AVN101" s="37"/>
      <c r="AVS101" s="45"/>
      <c r="AVT101" s="43"/>
      <c r="AVU101" s="37"/>
      <c r="AVZ101" s="45"/>
      <c r="AWA101" s="43"/>
      <c r="AWB101" s="37"/>
      <c r="AWG101" s="45"/>
      <c r="AWH101" s="43"/>
      <c r="AWI101" s="37"/>
      <c r="AWN101" s="45"/>
      <c r="AWO101" s="43"/>
      <c r="AWP101" s="37"/>
      <c r="AWU101" s="45"/>
      <c r="AWV101" s="43"/>
      <c r="AWW101" s="37"/>
      <c r="AXB101" s="45"/>
      <c r="AXC101" s="43"/>
      <c r="AXD101" s="37"/>
      <c r="AXI101" s="45"/>
      <c r="AXJ101" s="43"/>
      <c r="AXK101" s="37"/>
      <c r="AXP101" s="45"/>
      <c r="AXQ101" s="43"/>
      <c r="AXR101" s="37"/>
      <c r="AXW101" s="45"/>
      <c r="AXX101" s="43"/>
      <c r="AXY101" s="37"/>
      <c r="AYD101" s="45"/>
      <c r="AYE101" s="43"/>
      <c r="AYF101" s="37"/>
      <c r="AYK101" s="45"/>
      <c r="AYL101" s="43"/>
      <c r="AYM101" s="37"/>
      <c r="AYR101" s="45"/>
      <c r="AYS101" s="43"/>
      <c r="AYT101" s="37"/>
      <c r="AYY101" s="45"/>
      <c r="AYZ101" s="43"/>
      <c r="AZA101" s="37"/>
      <c r="AZF101" s="45"/>
      <c r="AZG101" s="43"/>
      <c r="AZH101" s="37"/>
      <c r="AZM101" s="45"/>
      <c r="AZN101" s="43"/>
      <c r="AZO101" s="37"/>
      <c r="AZT101" s="45"/>
      <c r="AZU101" s="43"/>
      <c r="AZV101" s="37"/>
      <c r="BAA101" s="45"/>
      <c r="BAB101" s="43"/>
      <c r="BAC101" s="37"/>
      <c r="BAH101" s="45"/>
      <c r="BAI101" s="43"/>
      <c r="BAJ101" s="37"/>
      <c r="BAO101" s="45"/>
      <c r="BAP101" s="43"/>
      <c r="BAQ101" s="37"/>
      <c r="BAV101" s="45"/>
      <c r="BAW101" s="43"/>
      <c r="BAX101" s="37"/>
      <c r="BBC101" s="45"/>
      <c r="BBD101" s="43"/>
      <c r="BBE101" s="37"/>
      <c r="BBJ101" s="45"/>
      <c r="BBK101" s="43"/>
      <c r="BBL101" s="37"/>
      <c r="BBQ101" s="45"/>
      <c r="BBR101" s="43"/>
      <c r="BBS101" s="37"/>
      <c r="BBX101" s="45"/>
      <c r="BBY101" s="43"/>
      <c r="BBZ101" s="37"/>
      <c r="BCE101" s="45"/>
      <c r="BCF101" s="43"/>
      <c r="BCG101" s="37"/>
      <c r="BCL101" s="45"/>
      <c r="BCM101" s="43"/>
      <c r="BCN101" s="37"/>
      <c r="BCS101" s="45"/>
      <c r="BCT101" s="43"/>
      <c r="BCU101" s="37"/>
      <c r="BCZ101" s="45"/>
      <c r="BDA101" s="43"/>
      <c r="BDB101" s="37"/>
      <c r="BDG101" s="45"/>
      <c r="BDH101" s="43"/>
      <c r="BDI101" s="37"/>
      <c r="BDN101" s="45"/>
      <c r="BDO101" s="43"/>
      <c r="BDP101" s="37"/>
      <c r="BDU101" s="45"/>
      <c r="BDV101" s="43"/>
      <c r="BDW101" s="37"/>
      <c r="BEB101" s="45"/>
      <c r="BEC101" s="43"/>
      <c r="BED101" s="37"/>
      <c r="BEI101" s="45"/>
      <c r="BEJ101" s="43"/>
      <c r="BEK101" s="37"/>
      <c r="BEP101" s="45"/>
      <c r="BEQ101" s="43"/>
      <c r="BER101" s="37"/>
      <c r="BEW101" s="45"/>
      <c r="BEX101" s="43"/>
      <c r="BEY101" s="37"/>
      <c r="BFD101" s="45"/>
      <c r="BFE101" s="43"/>
      <c r="BFF101" s="37"/>
      <c r="BFK101" s="45"/>
      <c r="BFL101" s="43"/>
      <c r="BFM101" s="37"/>
      <c r="BFR101" s="45"/>
      <c r="BFS101" s="43"/>
      <c r="BFT101" s="37"/>
      <c r="BFY101" s="45"/>
      <c r="BFZ101" s="43"/>
      <c r="BGA101" s="37"/>
      <c r="BGF101" s="45"/>
      <c r="BGG101" s="43"/>
      <c r="BGH101" s="37"/>
      <c r="BGM101" s="45"/>
      <c r="BGN101" s="43"/>
      <c r="BGO101" s="37"/>
      <c r="BGT101" s="45"/>
      <c r="BGU101" s="43"/>
      <c r="BGV101" s="37"/>
      <c r="BHA101" s="45"/>
      <c r="BHB101" s="43"/>
      <c r="BHC101" s="37"/>
      <c r="BHH101" s="45"/>
      <c r="BHI101" s="43"/>
      <c r="BHJ101" s="37"/>
      <c r="BHO101" s="45"/>
      <c r="BHP101" s="43"/>
      <c r="BHQ101" s="37"/>
      <c r="BHV101" s="45"/>
      <c r="BHW101" s="43"/>
      <c r="BHX101" s="37"/>
      <c r="BIC101" s="45"/>
      <c r="BID101" s="43"/>
      <c r="BIE101" s="37"/>
      <c r="BIJ101" s="45"/>
      <c r="BIK101" s="43"/>
      <c r="BIL101" s="37"/>
      <c r="BIQ101" s="45"/>
      <c r="BIR101" s="43"/>
      <c r="BIS101" s="37"/>
      <c r="BIX101" s="45"/>
      <c r="BIY101" s="43"/>
      <c r="BIZ101" s="37"/>
      <c r="BJE101" s="45"/>
      <c r="BJF101" s="43"/>
      <c r="BJG101" s="37"/>
      <c r="BJL101" s="45"/>
      <c r="BJM101" s="43"/>
      <c r="BJN101" s="37"/>
      <c r="BJS101" s="45"/>
      <c r="BJT101" s="43"/>
      <c r="BJU101" s="37"/>
      <c r="BJZ101" s="45"/>
      <c r="BKA101" s="43"/>
      <c r="BKB101" s="37"/>
      <c r="BKG101" s="45"/>
      <c r="BKH101" s="43"/>
      <c r="BKI101" s="37"/>
      <c r="BKN101" s="45"/>
      <c r="BKO101" s="43"/>
      <c r="BKP101" s="37"/>
      <c r="BKU101" s="45"/>
      <c r="BKV101" s="43"/>
      <c r="BKW101" s="37"/>
      <c r="BLB101" s="45"/>
      <c r="BLC101" s="43"/>
      <c r="BLD101" s="37"/>
      <c r="BLI101" s="45"/>
      <c r="BLJ101" s="43"/>
      <c r="BLK101" s="37"/>
      <c r="BLP101" s="45"/>
      <c r="BLQ101" s="43"/>
      <c r="BLR101" s="37"/>
      <c r="BLW101" s="45"/>
      <c r="BLX101" s="43"/>
      <c r="BLY101" s="37"/>
      <c r="BMD101" s="45"/>
      <c r="BME101" s="43"/>
      <c r="BMF101" s="37"/>
      <c r="BMK101" s="45"/>
      <c r="BML101" s="43"/>
      <c r="BMM101" s="37"/>
      <c r="BMR101" s="45"/>
      <c r="BMS101" s="43"/>
      <c r="BMT101" s="37"/>
      <c r="BMY101" s="45"/>
      <c r="BMZ101" s="43"/>
      <c r="BNA101" s="37"/>
      <c r="BNF101" s="45"/>
      <c r="BNG101" s="43"/>
      <c r="BNH101" s="37"/>
      <c r="BNM101" s="45"/>
      <c r="BNN101" s="43"/>
      <c r="BNO101" s="37"/>
      <c r="BNT101" s="45"/>
      <c r="BNU101" s="43"/>
      <c r="BNV101" s="37"/>
      <c r="BOA101" s="45"/>
      <c r="BOB101" s="43"/>
      <c r="BOC101" s="37"/>
      <c r="BOH101" s="45"/>
      <c r="BOI101" s="43"/>
      <c r="BOJ101" s="37"/>
      <c r="BOO101" s="45"/>
      <c r="BOP101" s="43"/>
      <c r="BOQ101" s="37"/>
      <c r="BOV101" s="45"/>
      <c r="BOW101" s="43"/>
      <c r="BOX101" s="37"/>
      <c r="BPC101" s="45"/>
      <c r="BPD101" s="43"/>
      <c r="BPE101" s="37"/>
      <c r="BPJ101" s="45"/>
      <c r="BPK101" s="43"/>
      <c r="BPL101" s="37"/>
      <c r="BPQ101" s="45"/>
      <c r="BPR101" s="43"/>
      <c r="BPS101" s="37"/>
      <c r="BPX101" s="45"/>
      <c r="BPY101" s="43"/>
      <c r="BPZ101" s="37"/>
      <c r="BQE101" s="45"/>
      <c r="BQF101" s="43"/>
      <c r="BQG101" s="37"/>
      <c r="BQL101" s="45"/>
      <c r="BQM101" s="43"/>
      <c r="BQN101" s="37"/>
      <c r="BQS101" s="45"/>
      <c r="BQT101" s="43"/>
      <c r="BQU101" s="37"/>
      <c r="BQZ101" s="45"/>
      <c r="BRA101" s="43"/>
      <c r="BRB101" s="37"/>
      <c r="BRG101" s="45"/>
      <c r="BRH101" s="43"/>
      <c r="BRI101" s="37"/>
      <c r="BRN101" s="45"/>
      <c r="BRO101" s="43"/>
      <c r="BRP101" s="37"/>
      <c r="BRU101" s="45"/>
      <c r="BRV101" s="43"/>
      <c r="BRW101" s="37"/>
      <c r="BSB101" s="45"/>
      <c r="BSC101" s="43"/>
      <c r="BSD101" s="37"/>
      <c r="BSI101" s="45"/>
      <c r="BSJ101" s="43"/>
      <c r="BSK101" s="37"/>
      <c r="BSP101" s="45"/>
      <c r="BSQ101" s="43"/>
      <c r="BSR101" s="37"/>
      <c r="BSW101" s="45"/>
      <c r="BSX101" s="43"/>
      <c r="BSY101" s="37"/>
      <c r="BTD101" s="45"/>
      <c r="BTE101" s="43"/>
      <c r="BTF101" s="37"/>
      <c r="BTK101" s="45"/>
      <c r="BTL101" s="43"/>
      <c r="BTM101" s="37"/>
      <c r="BTR101" s="45"/>
      <c r="BTS101" s="43"/>
      <c r="BTT101" s="37"/>
      <c r="BTY101" s="45"/>
      <c r="BTZ101" s="43"/>
      <c r="BUA101" s="37"/>
      <c r="BUF101" s="45"/>
      <c r="BUG101" s="43"/>
      <c r="BUH101" s="37"/>
      <c r="BUM101" s="45"/>
      <c r="BUN101" s="43"/>
      <c r="BUO101" s="37"/>
      <c r="BUT101" s="45"/>
      <c r="BUU101" s="43"/>
      <c r="BUV101" s="37"/>
      <c r="BVA101" s="45"/>
      <c r="BVB101" s="43"/>
      <c r="BVC101" s="37"/>
      <c r="BVH101" s="45"/>
      <c r="BVI101" s="43"/>
      <c r="BVJ101" s="37"/>
      <c r="BVO101" s="45"/>
      <c r="BVP101" s="43"/>
      <c r="BVQ101" s="37"/>
      <c r="BVV101" s="45"/>
      <c r="BVW101" s="43"/>
      <c r="BVX101" s="37"/>
      <c r="BWC101" s="45"/>
      <c r="BWD101" s="43"/>
      <c r="BWE101" s="37"/>
      <c r="BWJ101" s="45"/>
      <c r="BWK101" s="43"/>
      <c r="BWL101" s="37"/>
      <c r="BWQ101" s="45"/>
      <c r="BWR101" s="43"/>
      <c r="BWS101" s="37"/>
      <c r="BWX101" s="45"/>
      <c r="BWY101" s="43"/>
      <c r="BWZ101" s="37"/>
      <c r="BXE101" s="45"/>
      <c r="BXF101" s="43"/>
      <c r="BXG101" s="37"/>
      <c r="BXL101" s="45"/>
      <c r="BXM101" s="43"/>
      <c r="BXN101" s="37"/>
      <c r="BXS101" s="45"/>
      <c r="BXT101" s="43"/>
      <c r="BXU101" s="37"/>
      <c r="BXZ101" s="45"/>
      <c r="BYA101" s="43"/>
      <c r="BYB101" s="37"/>
      <c r="BYG101" s="45"/>
      <c r="BYH101" s="43"/>
      <c r="BYI101" s="37"/>
      <c r="BYN101" s="45"/>
      <c r="BYO101" s="43"/>
      <c r="BYP101" s="37"/>
      <c r="BYU101" s="45"/>
      <c r="BYV101" s="43"/>
      <c r="BYW101" s="37"/>
      <c r="BZB101" s="45"/>
      <c r="BZC101" s="43"/>
      <c r="BZD101" s="37"/>
      <c r="BZI101" s="45"/>
      <c r="BZJ101" s="43"/>
      <c r="BZK101" s="37"/>
      <c r="BZP101" s="45"/>
      <c r="BZQ101" s="43"/>
      <c r="BZR101" s="37"/>
      <c r="BZW101" s="45"/>
      <c r="BZX101" s="43"/>
      <c r="BZY101" s="37"/>
      <c r="CAD101" s="45"/>
      <c r="CAE101" s="43"/>
      <c r="CAF101" s="37"/>
      <c r="CAK101" s="45"/>
      <c r="CAL101" s="43"/>
      <c r="CAM101" s="37"/>
      <c r="CAR101" s="45"/>
      <c r="CAS101" s="43"/>
      <c r="CAT101" s="37"/>
      <c r="CAY101" s="45"/>
      <c r="CAZ101" s="43"/>
      <c r="CBA101" s="37"/>
      <c r="CBF101" s="45"/>
      <c r="CBG101" s="43"/>
      <c r="CBH101" s="37"/>
      <c r="CBM101" s="45"/>
      <c r="CBN101" s="43"/>
      <c r="CBO101" s="37"/>
      <c r="CBT101" s="45"/>
      <c r="CBU101" s="43"/>
      <c r="CBV101" s="37"/>
      <c r="CCA101" s="45"/>
      <c r="CCB101" s="43"/>
      <c r="CCC101" s="37"/>
      <c r="CCH101" s="45"/>
      <c r="CCI101" s="43"/>
      <c r="CCJ101" s="37"/>
      <c r="CCO101" s="45"/>
      <c r="CCP101" s="43"/>
      <c r="CCQ101" s="37"/>
      <c r="CCV101" s="45"/>
      <c r="CCW101" s="43"/>
      <c r="CCX101" s="37"/>
      <c r="CDC101" s="45"/>
      <c r="CDD101" s="43"/>
      <c r="CDE101" s="37"/>
      <c r="CDJ101" s="45"/>
      <c r="CDK101" s="43"/>
      <c r="CDL101" s="37"/>
      <c r="CDQ101" s="45"/>
      <c r="CDR101" s="43"/>
      <c r="CDS101" s="37"/>
      <c r="CDX101" s="45"/>
      <c r="CDY101" s="43"/>
      <c r="CDZ101" s="37"/>
      <c r="CEE101" s="45"/>
      <c r="CEF101" s="43"/>
      <c r="CEG101" s="37"/>
      <c r="CEL101" s="45"/>
      <c r="CEM101" s="43"/>
      <c r="CEN101" s="37"/>
      <c r="CES101" s="45"/>
      <c r="CET101" s="43"/>
      <c r="CEU101" s="37"/>
      <c r="CEZ101" s="45"/>
      <c r="CFA101" s="43"/>
      <c r="CFB101" s="37"/>
      <c r="CFG101" s="45"/>
      <c r="CFH101" s="43"/>
      <c r="CFI101" s="37"/>
      <c r="CFN101" s="45"/>
      <c r="CFO101" s="43"/>
      <c r="CFP101" s="37"/>
      <c r="CFU101" s="45"/>
      <c r="CFV101" s="43"/>
      <c r="CFW101" s="37"/>
      <c r="CGB101" s="45"/>
      <c r="CGC101" s="43"/>
      <c r="CGD101" s="37"/>
      <c r="CGI101" s="45"/>
      <c r="CGJ101" s="43"/>
      <c r="CGK101" s="37"/>
      <c r="CGP101" s="45"/>
      <c r="CGQ101" s="43"/>
      <c r="CGR101" s="37"/>
      <c r="CGW101" s="45"/>
      <c r="CGX101" s="43"/>
      <c r="CGY101" s="37"/>
      <c r="CHD101" s="45"/>
      <c r="CHE101" s="43"/>
      <c r="CHF101" s="37"/>
      <c r="CHK101" s="45"/>
      <c r="CHL101" s="43"/>
      <c r="CHM101" s="37"/>
      <c r="CHR101" s="45"/>
      <c r="CHS101" s="43"/>
      <c r="CHT101" s="37"/>
      <c r="CHY101" s="45"/>
      <c r="CHZ101" s="43"/>
      <c r="CIA101" s="37"/>
      <c r="CIF101" s="45"/>
      <c r="CIG101" s="43"/>
      <c r="CIH101" s="37"/>
      <c r="CIM101" s="45"/>
      <c r="CIN101" s="43"/>
      <c r="CIO101" s="37"/>
      <c r="CIT101" s="45"/>
      <c r="CIU101" s="43"/>
      <c r="CIV101" s="37"/>
      <c r="CJA101" s="45"/>
      <c r="CJB101" s="43"/>
      <c r="CJC101" s="37"/>
      <c r="CJH101" s="45"/>
      <c r="CJI101" s="43"/>
      <c r="CJJ101" s="37"/>
      <c r="CJO101" s="45"/>
      <c r="CJP101" s="43"/>
      <c r="CJQ101" s="37"/>
      <c r="CJV101" s="45"/>
      <c r="CJW101" s="43"/>
      <c r="CJX101" s="37"/>
      <c r="CKC101" s="45"/>
      <c r="CKD101" s="43"/>
      <c r="CKE101" s="37"/>
      <c r="CKJ101" s="45"/>
      <c r="CKK101" s="43"/>
      <c r="CKL101" s="37"/>
      <c r="CKQ101" s="45"/>
      <c r="CKR101" s="43"/>
      <c r="CKS101" s="37"/>
      <c r="CKX101" s="45"/>
      <c r="CKY101" s="43"/>
      <c r="CKZ101" s="37"/>
      <c r="CLE101" s="45"/>
      <c r="CLF101" s="43"/>
      <c r="CLG101" s="37"/>
      <c r="CLL101" s="45"/>
      <c r="CLM101" s="43"/>
      <c r="CLN101" s="37"/>
      <c r="CLS101" s="45"/>
      <c r="CLT101" s="43"/>
      <c r="CLU101" s="37"/>
      <c r="CLZ101" s="45"/>
      <c r="CMA101" s="43"/>
      <c r="CMB101" s="37"/>
      <c r="CMG101" s="45"/>
      <c r="CMH101" s="43"/>
      <c r="CMI101" s="37"/>
      <c r="CMN101" s="45"/>
      <c r="CMO101" s="43"/>
      <c r="CMP101" s="37"/>
      <c r="CMU101" s="45"/>
      <c r="CMV101" s="43"/>
      <c r="CMW101" s="37"/>
      <c r="CNB101" s="45"/>
      <c r="CNC101" s="43"/>
      <c r="CND101" s="37"/>
      <c r="CNI101" s="45"/>
      <c r="CNJ101" s="43"/>
      <c r="CNK101" s="37"/>
      <c r="CNP101" s="45"/>
      <c r="CNQ101" s="43"/>
      <c r="CNR101" s="37"/>
      <c r="CNW101" s="45"/>
      <c r="CNX101" s="43"/>
      <c r="CNY101" s="37"/>
      <c r="COD101" s="45"/>
      <c r="COE101" s="43"/>
      <c r="COF101" s="37"/>
      <c r="COK101" s="45"/>
      <c r="COL101" s="43"/>
      <c r="COM101" s="37"/>
      <c r="COR101" s="45"/>
      <c r="COS101" s="43"/>
      <c r="COT101" s="37"/>
      <c r="COY101" s="45"/>
      <c r="COZ101" s="43"/>
      <c r="CPA101" s="37"/>
      <c r="CPF101" s="45"/>
      <c r="CPG101" s="43"/>
      <c r="CPH101" s="37"/>
      <c r="CPM101" s="45"/>
      <c r="CPN101" s="43"/>
      <c r="CPO101" s="37"/>
      <c r="CPT101" s="45"/>
      <c r="CPU101" s="43"/>
      <c r="CPV101" s="37"/>
      <c r="CQA101" s="45"/>
      <c r="CQB101" s="43"/>
      <c r="CQC101" s="37"/>
      <c r="CQH101" s="45"/>
      <c r="CQI101" s="43"/>
      <c r="CQJ101" s="37"/>
      <c r="CQO101" s="45"/>
      <c r="CQP101" s="43"/>
      <c r="CQQ101" s="37"/>
      <c r="CQV101" s="45"/>
      <c r="CQW101" s="43"/>
      <c r="CQX101" s="37"/>
      <c r="CRC101" s="45"/>
      <c r="CRD101" s="43"/>
      <c r="CRE101" s="37"/>
      <c r="CRJ101" s="45"/>
      <c r="CRK101" s="43"/>
      <c r="CRL101" s="37"/>
      <c r="CRQ101" s="45"/>
      <c r="CRR101" s="43"/>
      <c r="CRS101" s="37"/>
      <c r="CRX101" s="45"/>
      <c r="CRY101" s="43"/>
      <c r="CRZ101" s="37"/>
      <c r="CSE101" s="45"/>
      <c r="CSF101" s="43"/>
      <c r="CSG101" s="37"/>
      <c r="CSL101" s="45"/>
      <c r="CSM101" s="43"/>
      <c r="CSN101" s="37"/>
      <c r="CSS101" s="45"/>
      <c r="CST101" s="43"/>
      <c r="CSU101" s="37"/>
      <c r="CSZ101" s="45"/>
      <c r="CTA101" s="43"/>
      <c r="CTB101" s="37"/>
      <c r="CTG101" s="45"/>
      <c r="CTH101" s="43"/>
      <c r="CTI101" s="37"/>
      <c r="CTN101" s="45"/>
      <c r="CTO101" s="43"/>
      <c r="CTP101" s="37"/>
      <c r="CTU101" s="45"/>
      <c r="CTV101" s="43"/>
      <c r="CTW101" s="37"/>
      <c r="CUB101" s="45"/>
    </row>
    <row r="102" s="36" customFormat="1" ht="14.55" spans="7:2576">
      <c r="G102" s="43" t="s">
        <v>153</v>
      </c>
      <c r="H102" s="57"/>
      <c r="I102" s="37"/>
      <c r="N102" s="45"/>
      <c r="O102" s="43"/>
      <c r="P102" s="37"/>
      <c r="U102" s="45"/>
      <c r="V102" s="43"/>
      <c r="W102" s="37"/>
      <c r="AB102" s="45"/>
      <c r="AC102" s="43"/>
      <c r="AD102" s="37"/>
      <c r="AI102" s="45"/>
      <c r="AJ102" s="43"/>
      <c r="AK102" s="37"/>
      <c r="AP102" s="45"/>
      <c r="AQ102" s="43"/>
      <c r="AR102" s="37"/>
      <c r="AW102" s="45"/>
      <c r="AX102" s="43"/>
      <c r="AY102" s="37"/>
      <c r="BD102" s="45"/>
      <c r="BE102" s="43"/>
      <c r="BF102" s="37"/>
      <c r="BK102" s="45"/>
      <c r="BL102" s="43"/>
      <c r="BM102" s="37"/>
      <c r="BR102" s="45"/>
      <c r="BS102" s="43"/>
      <c r="BT102" s="37"/>
      <c r="BY102" s="45"/>
      <c r="BZ102" s="43"/>
      <c r="CA102" s="37"/>
      <c r="CF102" s="45"/>
      <c r="CG102" s="43"/>
      <c r="CH102" s="37"/>
      <c r="CM102" s="45"/>
      <c r="CN102" s="43"/>
      <c r="CO102" s="37"/>
      <c r="CT102" s="45"/>
      <c r="CU102" s="43"/>
      <c r="CV102" s="37"/>
      <c r="DA102" s="45"/>
      <c r="DB102" s="43"/>
      <c r="DC102" s="37"/>
      <c r="DH102" s="45"/>
      <c r="DI102" s="43"/>
      <c r="DJ102" s="37"/>
      <c r="DO102" s="45"/>
      <c r="DP102" s="43"/>
      <c r="DQ102" s="37"/>
      <c r="DV102" s="45"/>
      <c r="DW102" s="43"/>
      <c r="DX102" s="37"/>
      <c r="EC102" s="45"/>
      <c r="ED102" s="43"/>
      <c r="EE102" s="37"/>
      <c r="EJ102" s="45"/>
      <c r="EK102" s="43"/>
      <c r="EL102" s="37"/>
      <c r="EQ102" s="45"/>
      <c r="ER102" s="43"/>
      <c r="ES102" s="37"/>
      <c r="EX102" s="45"/>
      <c r="EY102" s="43"/>
      <c r="EZ102" s="37"/>
      <c r="FE102" s="45"/>
      <c r="FF102" s="43"/>
      <c r="FG102" s="37"/>
      <c r="FL102" s="45"/>
      <c r="FM102" s="43"/>
      <c r="FN102" s="37"/>
      <c r="FS102" s="45"/>
      <c r="FT102" s="43"/>
      <c r="FU102" s="37"/>
      <c r="FZ102" s="45"/>
      <c r="GA102" s="43"/>
      <c r="GB102" s="37"/>
      <c r="GG102" s="45"/>
      <c r="GH102" s="43"/>
      <c r="GI102" s="37"/>
      <c r="GN102" s="45"/>
      <c r="GO102" s="43"/>
      <c r="GP102" s="37"/>
      <c r="GU102" s="45"/>
      <c r="GV102" s="43"/>
      <c r="GW102" s="37"/>
      <c r="HB102" s="45"/>
      <c r="HC102" s="43"/>
      <c r="HD102" s="37"/>
      <c r="HI102" s="45"/>
      <c r="HJ102" s="43"/>
      <c r="HK102" s="37"/>
      <c r="HP102" s="45"/>
      <c r="HQ102" s="43"/>
      <c r="HR102" s="37"/>
      <c r="HW102" s="45"/>
      <c r="HX102" s="43"/>
      <c r="HY102" s="37"/>
      <c r="ID102" s="45"/>
      <c r="IE102" s="43"/>
      <c r="IF102" s="37"/>
      <c r="IK102" s="45"/>
      <c r="IL102" s="43"/>
      <c r="IM102" s="37"/>
      <c r="IR102" s="45"/>
      <c r="IS102" s="43"/>
      <c r="IT102" s="37"/>
      <c r="IY102" s="45"/>
      <c r="IZ102" s="43"/>
      <c r="JA102" s="37"/>
      <c r="JF102" s="45"/>
      <c r="JG102" s="43"/>
      <c r="JH102" s="37"/>
      <c r="JM102" s="45"/>
      <c r="JN102" s="43"/>
      <c r="JO102" s="37"/>
      <c r="JT102" s="45"/>
      <c r="JU102" s="43"/>
      <c r="JV102" s="37"/>
      <c r="KA102" s="45"/>
      <c r="KB102" s="43"/>
      <c r="KC102" s="37"/>
      <c r="KH102" s="45"/>
      <c r="KI102" s="43"/>
      <c r="KJ102" s="37"/>
      <c r="KO102" s="45"/>
      <c r="KP102" s="43"/>
      <c r="KQ102" s="37"/>
      <c r="KV102" s="45"/>
      <c r="KW102" s="43"/>
      <c r="KX102" s="37"/>
      <c r="LC102" s="45"/>
      <c r="LD102" s="43"/>
      <c r="LE102" s="37"/>
      <c r="LJ102" s="45"/>
      <c r="LK102" s="43"/>
      <c r="LL102" s="37"/>
      <c r="LQ102" s="45"/>
      <c r="LR102" s="43"/>
      <c r="LS102" s="37"/>
      <c r="LX102" s="45"/>
      <c r="LY102" s="43"/>
      <c r="LZ102" s="37"/>
      <c r="ME102" s="45"/>
      <c r="MF102" s="43"/>
      <c r="MG102" s="37"/>
      <c r="ML102" s="45"/>
      <c r="MM102" s="43"/>
      <c r="MN102" s="37"/>
      <c r="MS102" s="45"/>
      <c r="MT102" s="43"/>
      <c r="MU102" s="37"/>
      <c r="MZ102" s="45"/>
      <c r="NA102" s="43"/>
      <c r="NB102" s="37"/>
      <c r="NG102" s="45"/>
      <c r="NH102" s="43"/>
      <c r="NI102" s="37"/>
      <c r="NN102" s="45"/>
      <c r="NO102" s="43"/>
      <c r="NP102" s="37"/>
      <c r="NU102" s="45"/>
      <c r="NV102" s="43"/>
      <c r="NW102" s="37"/>
      <c r="OB102" s="45"/>
      <c r="OC102" s="43"/>
      <c r="OD102" s="37"/>
      <c r="OI102" s="45"/>
      <c r="OJ102" s="43"/>
      <c r="OK102" s="37"/>
      <c r="OP102" s="45"/>
      <c r="OQ102" s="43"/>
      <c r="OR102" s="37"/>
      <c r="OW102" s="45"/>
      <c r="OX102" s="43"/>
      <c r="OY102" s="37"/>
      <c r="PD102" s="45"/>
      <c r="PE102" s="43"/>
      <c r="PF102" s="37"/>
      <c r="PK102" s="45"/>
      <c r="PL102" s="43"/>
      <c r="PM102" s="37"/>
      <c r="PR102" s="45"/>
      <c r="PS102" s="43"/>
      <c r="PT102" s="37"/>
      <c r="PY102" s="45"/>
      <c r="PZ102" s="43"/>
      <c r="QA102" s="37"/>
      <c r="QF102" s="45"/>
      <c r="QG102" s="43"/>
      <c r="QH102" s="37"/>
      <c r="QM102" s="45"/>
      <c r="QN102" s="43"/>
      <c r="QO102" s="37"/>
      <c r="QT102" s="45"/>
      <c r="QU102" s="43"/>
      <c r="QV102" s="37"/>
      <c r="RA102" s="45"/>
      <c r="RB102" s="43"/>
      <c r="RC102" s="37"/>
      <c r="RH102" s="45"/>
      <c r="RI102" s="43"/>
      <c r="RJ102" s="37"/>
      <c r="RO102" s="45"/>
      <c r="RP102" s="43"/>
      <c r="RQ102" s="37"/>
      <c r="RV102" s="45"/>
      <c r="RW102" s="43"/>
      <c r="RX102" s="37"/>
      <c r="SC102" s="45"/>
      <c r="SD102" s="43"/>
      <c r="SE102" s="37"/>
      <c r="SJ102" s="45"/>
      <c r="SK102" s="43"/>
      <c r="SL102" s="37"/>
      <c r="SQ102" s="45"/>
      <c r="SR102" s="43"/>
      <c r="SS102" s="37"/>
      <c r="SX102" s="45"/>
      <c r="SY102" s="43"/>
      <c r="SZ102" s="37"/>
      <c r="TE102" s="45"/>
      <c r="TF102" s="43"/>
      <c r="TG102" s="37"/>
      <c r="TL102" s="45"/>
      <c r="TM102" s="43"/>
      <c r="TN102" s="37"/>
      <c r="TS102" s="45"/>
      <c r="TT102" s="43"/>
      <c r="TU102" s="37"/>
      <c r="TZ102" s="45"/>
      <c r="UA102" s="43"/>
      <c r="UB102" s="37"/>
      <c r="UG102" s="45"/>
      <c r="UH102" s="43"/>
      <c r="UI102" s="37"/>
      <c r="UN102" s="45"/>
      <c r="UO102" s="43"/>
      <c r="UP102" s="37"/>
      <c r="UU102" s="45"/>
      <c r="UV102" s="43"/>
      <c r="UW102" s="37"/>
      <c r="VB102" s="45"/>
      <c r="VC102" s="43"/>
      <c r="VD102" s="37"/>
      <c r="VI102" s="45"/>
      <c r="VJ102" s="43"/>
      <c r="VK102" s="37"/>
      <c r="VP102" s="45"/>
      <c r="VQ102" s="43"/>
      <c r="VR102" s="37"/>
      <c r="VW102" s="45"/>
      <c r="VX102" s="43"/>
      <c r="VY102" s="37"/>
      <c r="WD102" s="45"/>
      <c r="WE102" s="43"/>
      <c r="WF102" s="37"/>
      <c r="WK102" s="45"/>
      <c r="WL102" s="43"/>
      <c r="WM102" s="37"/>
      <c r="WR102" s="45"/>
      <c r="WS102" s="43"/>
      <c r="WT102" s="37"/>
      <c r="WY102" s="45"/>
      <c r="WZ102" s="43"/>
      <c r="XA102" s="37"/>
      <c r="XF102" s="45"/>
      <c r="XG102" s="43"/>
      <c r="XH102" s="37"/>
      <c r="XM102" s="45"/>
      <c r="XN102" s="43"/>
      <c r="XO102" s="37"/>
      <c r="XT102" s="45"/>
      <c r="XU102" s="43"/>
      <c r="XV102" s="37"/>
      <c r="YA102" s="45"/>
      <c r="YB102" s="43"/>
      <c r="YC102" s="37"/>
      <c r="YH102" s="45"/>
      <c r="YI102" s="43"/>
      <c r="YJ102" s="37"/>
      <c r="YO102" s="45"/>
      <c r="YP102" s="43"/>
      <c r="YQ102" s="37"/>
      <c r="YV102" s="45"/>
      <c r="YW102" s="43"/>
      <c r="YX102" s="37"/>
      <c r="ZC102" s="45"/>
      <c r="ZD102" s="43"/>
      <c r="ZE102" s="37"/>
      <c r="ZJ102" s="45"/>
      <c r="ZK102" s="43"/>
      <c r="ZL102" s="37"/>
      <c r="ZQ102" s="45"/>
      <c r="ZR102" s="43"/>
      <c r="ZS102" s="37"/>
      <c r="ZX102" s="45"/>
      <c r="ZY102" s="43"/>
      <c r="ZZ102" s="37"/>
      <c r="AAE102" s="45"/>
      <c r="AAF102" s="43"/>
      <c r="AAG102" s="37"/>
      <c r="AAL102" s="45"/>
      <c r="AAM102" s="43"/>
      <c r="AAN102" s="37"/>
      <c r="AAS102" s="45"/>
      <c r="AAT102" s="43"/>
      <c r="AAU102" s="37"/>
      <c r="AAZ102" s="45"/>
      <c r="ABA102" s="43"/>
      <c r="ABB102" s="37"/>
      <c r="ABG102" s="45"/>
      <c r="ABH102" s="43"/>
      <c r="ABI102" s="37"/>
      <c r="ABN102" s="45"/>
      <c r="ABO102" s="43"/>
      <c r="ABP102" s="37"/>
      <c r="ABU102" s="45"/>
      <c r="ABV102" s="43"/>
      <c r="ABW102" s="37"/>
      <c r="ACB102" s="45"/>
      <c r="ACC102" s="43"/>
      <c r="ACD102" s="37"/>
      <c r="ACI102" s="45"/>
      <c r="ACJ102" s="43"/>
      <c r="ACK102" s="37"/>
      <c r="ACP102" s="45"/>
      <c r="ACQ102" s="43"/>
      <c r="ACR102" s="37"/>
      <c r="ACW102" s="45"/>
      <c r="ACX102" s="43"/>
      <c r="ACY102" s="37"/>
      <c r="ADD102" s="45"/>
      <c r="ADE102" s="43"/>
      <c r="ADF102" s="37"/>
      <c r="ADK102" s="45"/>
      <c r="ADL102" s="43"/>
      <c r="ADM102" s="37"/>
      <c r="ADR102" s="45"/>
      <c r="ADS102" s="43"/>
      <c r="ADT102" s="37"/>
      <c r="ADY102" s="45"/>
      <c r="ADZ102" s="43"/>
      <c r="AEA102" s="37"/>
      <c r="AEF102" s="45"/>
      <c r="AEG102" s="43"/>
      <c r="AEH102" s="37"/>
      <c r="AEM102" s="45"/>
      <c r="AEN102" s="43"/>
      <c r="AEO102" s="37"/>
      <c r="AET102" s="45"/>
      <c r="AEU102" s="43"/>
      <c r="AEV102" s="37"/>
      <c r="AFA102" s="45"/>
      <c r="AFB102" s="43"/>
      <c r="AFC102" s="37"/>
      <c r="AFH102" s="45"/>
      <c r="AFI102" s="43"/>
      <c r="AFJ102" s="37"/>
      <c r="AFO102" s="45"/>
      <c r="AFP102" s="43"/>
      <c r="AFQ102" s="37"/>
      <c r="AFV102" s="45"/>
      <c r="AFW102" s="43"/>
      <c r="AFX102" s="37"/>
      <c r="AGC102" s="45"/>
      <c r="AGD102" s="43"/>
      <c r="AGE102" s="37"/>
      <c r="AGJ102" s="45"/>
      <c r="AGK102" s="43"/>
      <c r="AGL102" s="37"/>
      <c r="AGQ102" s="45"/>
      <c r="AGR102" s="43"/>
      <c r="AGS102" s="37"/>
      <c r="AGX102" s="45"/>
      <c r="AGY102" s="43"/>
      <c r="AGZ102" s="37"/>
      <c r="AHE102" s="45"/>
      <c r="AHF102" s="43"/>
      <c r="AHG102" s="37"/>
      <c r="AHL102" s="45"/>
      <c r="AHM102" s="43"/>
      <c r="AHN102" s="37"/>
      <c r="AHS102" s="45"/>
      <c r="AHT102" s="43"/>
      <c r="AHU102" s="37"/>
      <c r="AHZ102" s="45"/>
      <c r="AIA102" s="43"/>
      <c r="AIB102" s="37"/>
      <c r="AIG102" s="45"/>
      <c r="AIH102" s="43"/>
      <c r="AII102" s="37"/>
      <c r="AIN102" s="45"/>
      <c r="AIO102" s="43"/>
      <c r="AIP102" s="37"/>
      <c r="AIU102" s="45"/>
      <c r="AIV102" s="43"/>
      <c r="AIW102" s="37"/>
      <c r="AJB102" s="45"/>
      <c r="AJC102" s="43"/>
      <c r="AJD102" s="37"/>
      <c r="AJI102" s="45"/>
      <c r="AJJ102" s="43"/>
      <c r="AJK102" s="37"/>
      <c r="AJP102" s="45"/>
      <c r="AJQ102" s="43"/>
      <c r="AJR102" s="37"/>
      <c r="AJW102" s="45"/>
      <c r="AJX102" s="43"/>
      <c r="AJY102" s="37"/>
      <c r="AKD102" s="45"/>
      <c r="AKE102" s="43"/>
      <c r="AKF102" s="37"/>
      <c r="AKK102" s="45"/>
      <c r="AKL102" s="43"/>
      <c r="AKM102" s="37"/>
      <c r="AKR102" s="45"/>
      <c r="AKS102" s="43"/>
      <c r="AKT102" s="37"/>
      <c r="AKY102" s="45"/>
      <c r="AKZ102" s="43"/>
      <c r="ALA102" s="37"/>
      <c r="ALF102" s="45"/>
      <c r="ALG102" s="43"/>
      <c r="ALH102" s="37"/>
      <c r="ALM102" s="45"/>
      <c r="ALN102" s="43"/>
      <c r="ALO102" s="37"/>
      <c r="ALT102" s="45"/>
      <c r="ALU102" s="43"/>
      <c r="ALV102" s="37"/>
      <c r="AMA102" s="45"/>
      <c r="AMB102" s="43"/>
      <c r="AMC102" s="37"/>
      <c r="AMH102" s="45"/>
      <c r="AMI102" s="43"/>
      <c r="AMJ102" s="37"/>
      <c r="AMO102" s="45"/>
      <c r="AMP102" s="43"/>
      <c r="AMQ102" s="37"/>
      <c r="AMV102" s="45"/>
      <c r="AMW102" s="43"/>
      <c r="AMX102" s="37"/>
      <c r="ANC102" s="45"/>
      <c r="AND102" s="43"/>
      <c r="ANE102" s="37"/>
      <c r="ANJ102" s="45"/>
      <c r="ANK102" s="43"/>
      <c r="ANL102" s="37"/>
      <c r="ANQ102" s="45"/>
      <c r="ANR102" s="43"/>
      <c r="ANS102" s="37"/>
      <c r="ANX102" s="45"/>
      <c r="ANY102" s="43"/>
      <c r="ANZ102" s="37"/>
      <c r="AOE102" s="45"/>
      <c r="AOF102" s="43"/>
      <c r="AOG102" s="37"/>
      <c r="AOL102" s="45"/>
      <c r="AOM102" s="43"/>
      <c r="AON102" s="37"/>
      <c r="AOS102" s="45"/>
      <c r="AOT102" s="43"/>
      <c r="AOU102" s="37"/>
      <c r="AOZ102" s="45"/>
      <c r="APA102" s="43"/>
      <c r="APB102" s="37"/>
      <c r="APG102" s="45"/>
      <c r="APH102" s="43"/>
      <c r="API102" s="37"/>
      <c r="APN102" s="45"/>
      <c r="APO102" s="43"/>
      <c r="APP102" s="37"/>
      <c r="APU102" s="45"/>
      <c r="APV102" s="43"/>
      <c r="APW102" s="37"/>
      <c r="AQB102" s="45"/>
      <c r="AQC102" s="43"/>
      <c r="AQD102" s="37"/>
      <c r="AQI102" s="45"/>
      <c r="AQJ102" s="43"/>
      <c r="AQK102" s="37"/>
      <c r="AQP102" s="45"/>
      <c r="AQQ102" s="43"/>
      <c r="AQR102" s="37"/>
      <c r="AQW102" s="45"/>
      <c r="AQX102" s="43"/>
      <c r="AQY102" s="37"/>
      <c r="ARD102" s="45"/>
      <c r="ARE102" s="43"/>
      <c r="ARF102" s="37"/>
      <c r="ARK102" s="45"/>
      <c r="ARL102" s="43"/>
      <c r="ARM102" s="37"/>
      <c r="ARR102" s="45"/>
      <c r="ARS102" s="43"/>
      <c r="ART102" s="37"/>
      <c r="ARY102" s="45"/>
      <c r="ARZ102" s="43"/>
      <c r="ASA102" s="37"/>
      <c r="ASF102" s="45"/>
      <c r="ASG102" s="43"/>
      <c r="ASH102" s="37"/>
      <c r="ASM102" s="45"/>
      <c r="ASN102" s="43"/>
      <c r="ASO102" s="37"/>
      <c r="AST102" s="45"/>
      <c r="ASU102" s="43"/>
      <c r="ASV102" s="37"/>
      <c r="ATA102" s="45"/>
      <c r="ATB102" s="43"/>
      <c r="ATC102" s="37"/>
      <c r="ATH102" s="45"/>
      <c r="ATI102" s="43"/>
      <c r="ATJ102" s="37"/>
      <c r="ATO102" s="45"/>
      <c r="ATP102" s="43"/>
      <c r="ATQ102" s="37"/>
      <c r="ATV102" s="45"/>
      <c r="ATW102" s="43"/>
      <c r="ATX102" s="37"/>
      <c r="AUC102" s="45"/>
      <c r="AUD102" s="43"/>
      <c r="AUE102" s="37"/>
      <c r="AUJ102" s="45"/>
      <c r="AUK102" s="43"/>
      <c r="AUL102" s="37"/>
      <c r="AUQ102" s="45"/>
      <c r="AUR102" s="43"/>
      <c r="AUS102" s="37"/>
      <c r="AUX102" s="45"/>
      <c r="AUY102" s="43"/>
      <c r="AUZ102" s="37"/>
      <c r="AVE102" s="45"/>
      <c r="AVF102" s="43"/>
      <c r="AVG102" s="37"/>
      <c r="AVL102" s="45"/>
      <c r="AVM102" s="43"/>
      <c r="AVN102" s="37"/>
      <c r="AVS102" s="45"/>
      <c r="AVT102" s="43"/>
      <c r="AVU102" s="37"/>
      <c r="AVZ102" s="45"/>
      <c r="AWA102" s="43"/>
      <c r="AWB102" s="37"/>
      <c r="AWG102" s="45"/>
      <c r="AWH102" s="43"/>
      <c r="AWI102" s="37"/>
      <c r="AWN102" s="45"/>
      <c r="AWO102" s="43"/>
      <c r="AWP102" s="37"/>
      <c r="AWU102" s="45"/>
      <c r="AWV102" s="43"/>
      <c r="AWW102" s="37"/>
      <c r="AXB102" s="45"/>
      <c r="AXC102" s="43"/>
      <c r="AXD102" s="37"/>
      <c r="AXI102" s="45"/>
      <c r="AXJ102" s="43"/>
      <c r="AXK102" s="37"/>
      <c r="AXP102" s="45"/>
      <c r="AXQ102" s="43"/>
      <c r="AXR102" s="37"/>
      <c r="AXW102" s="45"/>
      <c r="AXX102" s="43"/>
      <c r="AXY102" s="37"/>
      <c r="AYD102" s="45"/>
      <c r="AYE102" s="43"/>
      <c r="AYF102" s="37"/>
      <c r="AYK102" s="45"/>
      <c r="AYL102" s="43"/>
      <c r="AYM102" s="37"/>
      <c r="AYR102" s="45"/>
      <c r="AYS102" s="43"/>
      <c r="AYT102" s="37"/>
      <c r="AYY102" s="45"/>
      <c r="AYZ102" s="43"/>
      <c r="AZA102" s="37"/>
      <c r="AZF102" s="45"/>
      <c r="AZG102" s="43"/>
      <c r="AZH102" s="37"/>
      <c r="AZM102" s="45"/>
      <c r="AZN102" s="43"/>
      <c r="AZO102" s="37"/>
      <c r="AZT102" s="45"/>
      <c r="AZU102" s="43"/>
      <c r="AZV102" s="37"/>
      <c r="BAA102" s="45"/>
      <c r="BAB102" s="43"/>
      <c r="BAC102" s="37"/>
      <c r="BAH102" s="45"/>
      <c r="BAI102" s="43"/>
      <c r="BAJ102" s="37"/>
      <c r="BAO102" s="45"/>
      <c r="BAP102" s="43"/>
      <c r="BAQ102" s="37"/>
      <c r="BAV102" s="45"/>
      <c r="BAW102" s="43"/>
      <c r="BAX102" s="37"/>
      <c r="BBC102" s="45"/>
      <c r="BBD102" s="43"/>
      <c r="BBE102" s="37"/>
      <c r="BBJ102" s="45"/>
      <c r="BBK102" s="43"/>
      <c r="BBL102" s="37"/>
      <c r="BBQ102" s="45"/>
      <c r="BBR102" s="43"/>
      <c r="BBS102" s="37"/>
      <c r="BBX102" s="45"/>
      <c r="BBY102" s="43"/>
      <c r="BBZ102" s="37"/>
      <c r="BCE102" s="45"/>
      <c r="BCF102" s="43"/>
      <c r="BCG102" s="37"/>
      <c r="BCL102" s="45"/>
      <c r="BCM102" s="43"/>
      <c r="BCN102" s="37"/>
      <c r="BCS102" s="45"/>
      <c r="BCT102" s="43"/>
      <c r="BCU102" s="37"/>
      <c r="BCZ102" s="45"/>
      <c r="BDA102" s="43"/>
      <c r="BDB102" s="37"/>
      <c r="BDG102" s="45"/>
      <c r="BDH102" s="43"/>
      <c r="BDI102" s="37"/>
      <c r="BDN102" s="45"/>
      <c r="BDO102" s="43"/>
      <c r="BDP102" s="37"/>
      <c r="BDU102" s="45"/>
      <c r="BDV102" s="43"/>
      <c r="BDW102" s="37"/>
      <c r="BEB102" s="45"/>
      <c r="BEC102" s="43"/>
      <c r="BED102" s="37"/>
      <c r="BEI102" s="45"/>
      <c r="BEJ102" s="43"/>
      <c r="BEK102" s="37"/>
      <c r="BEP102" s="45"/>
      <c r="BEQ102" s="43"/>
      <c r="BER102" s="37"/>
      <c r="BEW102" s="45"/>
      <c r="BEX102" s="43"/>
      <c r="BEY102" s="37"/>
      <c r="BFD102" s="45"/>
      <c r="BFE102" s="43"/>
      <c r="BFF102" s="37"/>
      <c r="BFK102" s="45"/>
      <c r="BFL102" s="43"/>
      <c r="BFM102" s="37"/>
      <c r="BFR102" s="45"/>
      <c r="BFS102" s="43"/>
      <c r="BFT102" s="37"/>
      <c r="BFY102" s="45"/>
      <c r="BFZ102" s="43"/>
      <c r="BGA102" s="37"/>
      <c r="BGF102" s="45"/>
      <c r="BGG102" s="43"/>
      <c r="BGH102" s="37"/>
      <c r="BGM102" s="45"/>
      <c r="BGN102" s="43"/>
      <c r="BGO102" s="37"/>
      <c r="BGT102" s="45"/>
      <c r="BGU102" s="43"/>
      <c r="BGV102" s="37"/>
      <c r="BHA102" s="45"/>
      <c r="BHB102" s="43"/>
      <c r="BHC102" s="37"/>
      <c r="BHH102" s="45"/>
      <c r="BHI102" s="43"/>
      <c r="BHJ102" s="37"/>
      <c r="BHO102" s="45"/>
      <c r="BHP102" s="43"/>
      <c r="BHQ102" s="37"/>
      <c r="BHV102" s="45"/>
      <c r="BHW102" s="43"/>
      <c r="BHX102" s="37"/>
      <c r="BIC102" s="45"/>
      <c r="BID102" s="43"/>
      <c r="BIE102" s="37"/>
      <c r="BIJ102" s="45"/>
      <c r="BIK102" s="43"/>
      <c r="BIL102" s="37"/>
      <c r="BIQ102" s="45"/>
      <c r="BIR102" s="43"/>
      <c r="BIS102" s="37"/>
      <c r="BIX102" s="45"/>
      <c r="BIY102" s="43"/>
      <c r="BIZ102" s="37"/>
      <c r="BJE102" s="45"/>
      <c r="BJF102" s="43"/>
      <c r="BJG102" s="37"/>
      <c r="BJL102" s="45"/>
      <c r="BJM102" s="43"/>
      <c r="BJN102" s="37"/>
      <c r="BJS102" s="45"/>
      <c r="BJT102" s="43"/>
      <c r="BJU102" s="37"/>
      <c r="BJZ102" s="45"/>
      <c r="BKA102" s="43"/>
      <c r="BKB102" s="37"/>
      <c r="BKG102" s="45"/>
      <c r="BKH102" s="43"/>
      <c r="BKI102" s="37"/>
      <c r="BKN102" s="45"/>
      <c r="BKO102" s="43"/>
      <c r="BKP102" s="37"/>
      <c r="BKU102" s="45"/>
      <c r="BKV102" s="43"/>
      <c r="BKW102" s="37"/>
      <c r="BLB102" s="45"/>
      <c r="BLC102" s="43"/>
      <c r="BLD102" s="37"/>
      <c r="BLI102" s="45"/>
      <c r="BLJ102" s="43"/>
      <c r="BLK102" s="37"/>
      <c r="BLP102" s="45"/>
      <c r="BLQ102" s="43"/>
      <c r="BLR102" s="37"/>
      <c r="BLW102" s="45"/>
      <c r="BLX102" s="43"/>
      <c r="BLY102" s="37"/>
      <c r="BMD102" s="45"/>
      <c r="BME102" s="43"/>
      <c r="BMF102" s="37"/>
      <c r="BMK102" s="45"/>
      <c r="BML102" s="43"/>
      <c r="BMM102" s="37"/>
      <c r="BMR102" s="45"/>
      <c r="BMS102" s="43"/>
      <c r="BMT102" s="37"/>
      <c r="BMY102" s="45"/>
      <c r="BMZ102" s="43"/>
      <c r="BNA102" s="37"/>
      <c r="BNF102" s="45"/>
      <c r="BNG102" s="43"/>
      <c r="BNH102" s="37"/>
      <c r="BNM102" s="45"/>
      <c r="BNN102" s="43"/>
      <c r="BNO102" s="37"/>
      <c r="BNT102" s="45"/>
      <c r="BNU102" s="43"/>
      <c r="BNV102" s="37"/>
      <c r="BOA102" s="45"/>
      <c r="BOB102" s="43"/>
      <c r="BOC102" s="37"/>
      <c r="BOH102" s="45"/>
      <c r="BOI102" s="43"/>
      <c r="BOJ102" s="37"/>
      <c r="BOO102" s="45"/>
      <c r="BOP102" s="43"/>
      <c r="BOQ102" s="37"/>
      <c r="BOV102" s="45"/>
      <c r="BOW102" s="43"/>
      <c r="BOX102" s="37"/>
      <c r="BPC102" s="45"/>
      <c r="BPD102" s="43"/>
      <c r="BPE102" s="37"/>
      <c r="BPJ102" s="45"/>
      <c r="BPK102" s="43"/>
      <c r="BPL102" s="37"/>
      <c r="BPQ102" s="45"/>
      <c r="BPR102" s="43"/>
      <c r="BPS102" s="37"/>
      <c r="BPX102" s="45"/>
      <c r="BPY102" s="43"/>
      <c r="BPZ102" s="37"/>
      <c r="BQE102" s="45"/>
      <c r="BQF102" s="43"/>
      <c r="BQG102" s="37"/>
      <c r="BQL102" s="45"/>
      <c r="BQM102" s="43"/>
      <c r="BQN102" s="37"/>
      <c r="BQS102" s="45"/>
      <c r="BQT102" s="43"/>
      <c r="BQU102" s="37"/>
      <c r="BQZ102" s="45"/>
      <c r="BRA102" s="43"/>
      <c r="BRB102" s="37"/>
      <c r="BRG102" s="45"/>
      <c r="BRH102" s="43"/>
      <c r="BRI102" s="37"/>
      <c r="BRN102" s="45"/>
      <c r="BRO102" s="43"/>
      <c r="BRP102" s="37"/>
      <c r="BRU102" s="45"/>
      <c r="BRV102" s="43"/>
      <c r="BRW102" s="37"/>
      <c r="BSB102" s="45"/>
      <c r="BSC102" s="43"/>
      <c r="BSD102" s="37"/>
      <c r="BSI102" s="45"/>
      <c r="BSJ102" s="43"/>
      <c r="BSK102" s="37"/>
      <c r="BSP102" s="45"/>
      <c r="BSQ102" s="43"/>
      <c r="BSR102" s="37"/>
      <c r="BSW102" s="45"/>
      <c r="BSX102" s="43"/>
      <c r="BSY102" s="37"/>
      <c r="BTD102" s="45"/>
      <c r="BTE102" s="43"/>
      <c r="BTF102" s="37"/>
      <c r="BTK102" s="45"/>
      <c r="BTL102" s="43"/>
      <c r="BTM102" s="37"/>
      <c r="BTR102" s="45"/>
      <c r="BTS102" s="43"/>
      <c r="BTT102" s="37"/>
      <c r="BTY102" s="45"/>
      <c r="BTZ102" s="43"/>
      <c r="BUA102" s="37"/>
      <c r="BUF102" s="45"/>
      <c r="BUG102" s="43"/>
      <c r="BUH102" s="37"/>
      <c r="BUM102" s="45"/>
      <c r="BUN102" s="43"/>
      <c r="BUO102" s="37"/>
      <c r="BUT102" s="45"/>
      <c r="BUU102" s="43"/>
      <c r="BUV102" s="37"/>
      <c r="BVA102" s="45"/>
      <c r="BVB102" s="43"/>
      <c r="BVC102" s="37"/>
      <c r="BVH102" s="45"/>
      <c r="BVI102" s="43"/>
      <c r="BVJ102" s="37"/>
      <c r="BVO102" s="45"/>
      <c r="BVP102" s="43"/>
      <c r="BVQ102" s="37"/>
      <c r="BVV102" s="45"/>
      <c r="BVW102" s="43"/>
      <c r="BVX102" s="37"/>
      <c r="BWC102" s="45"/>
      <c r="BWD102" s="43"/>
      <c r="BWE102" s="37"/>
      <c r="BWJ102" s="45"/>
      <c r="BWK102" s="43"/>
      <c r="BWL102" s="37"/>
      <c r="BWQ102" s="45"/>
      <c r="BWR102" s="43"/>
      <c r="BWS102" s="37"/>
      <c r="BWX102" s="45"/>
      <c r="BWY102" s="43"/>
      <c r="BWZ102" s="37"/>
      <c r="BXE102" s="45"/>
      <c r="BXF102" s="43"/>
      <c r="BXG102" s="37"/>
      <c r="BXL102" s="45"/>
      <c r="BXM102" s="43"/>
      <c r="BXN102" s="37"/>
      <c r="BXS102" s="45"/>
      <c r="BXT102" s="43"/>
      <c r="BXU102" s="37"/>
      <c r="BXZ102" s="45"/>
      <c r="BYA102" s="43"/>
      <c r="BYB102" s="37"/>
      <c r="BYG102" s="45"/>
      <c r="BYH102" s="43"/>
      <c r="BYI102" s="37"/>
      <c r="BYN102" s="45"/>
      <c r="BYO102" s="43"/>
      <c r="BYP102" s="37"/>
      <c r="BYU102" s="45"/>
      <c r="BYV102" s="43"/>
      <c r="BYW102" s="37"/>
      <c r="BZB102" s="45"/>
      <c r="BZC102" s="43"/>
      <c r="BZD102" s="37"/>
      <c r="BZI102" s="45"/>
      <c r="BZJ102" s="43"/>
      <c r="BZK102" s="37"/>
      <c r="BZP102" s="45"/>
      <c r="BZQ102" s="43"/>
      <c r="BZR102" s="37"/>
      <c r="BZW102" s="45"/>
      <c r="BZX102" s="43"/>
      <c r="BZY102" s="37"/>
      <c r="CAD102" s="45"/>
      <c r="CAE102" s="43"/>
      <c r="CAF102" s="37"/>
      <c r="CAK102" s="45"/>
      <c r="CAL102" s="43"/>
      <c r="CAM102" s="37"/>
      <c r="CAR102" s="45"/>
      <c r="CAS102" s="43"/>
      <c r="CAT102" s="37"/>
      <c r="CAY102" s="45"/>
      <c r="CAZ102" s="43"/>
      <c r="CBA102" s="37"/>
      <c r="CBF102" s="45"/>
      <c r="CBG102" s="43"/>
      <c r="CBH102" s="37"/>
      <c r="CBM102" s="45"/>
      <c r="CBN102" s="43"/>
      <c r="CBO102" s="37"/>
      <c r="CBT102" s="45"/>
      <c r="CBU102" s="43"/>
      <c r="CBV102" s="37"/>
      <c r="CCA102" s="45"/>
      <c r="CCB102" s="43"/>
      <c r="CCC102" s="37"/>
      <c r="CCH102" s="45"/>
      <c r="CCI102" s="43"/>
      <c r="CCJ102" s="37"/>
      <c r="CCO102" s="45"/>
      <c r="CCP102" s="43"/>
      <c r="CCQ102" s="37"/>
      <c r="CCV102" s="45"/>
      <c r="CCW102" s="43"/>
      <c r="CCX102" s="37"/>
      <c r="CDC102" s="45"/>
      <c r="CDD102" s="43"/>
      <c r="CDE102" s="37"/>
      <c r="CDJ102" s="45"/>
      <c r="CDK102" s="43"/>
      <c r="CDL102" s="37"/>
      <c r="CDQ102" s="45"/>
      <c r="CDR102" s="43"/>
      <c r="CDS102" s="37"/>
      <c r="CDX102" s="45"/>
      <c r="CDY102" s="43"/>
      <c r="CDZ102" s="37"/>
      <c r="CEE102" s="45"/>
      <c r="CEF102" s="43"/>
      <c r="CEG102" s="37"/>
      <c r="CEL102" s="45"/>
      <c r="CEM102" s="43"/>
      <c r="CEN102" s="37"/>
      <c r="CES102" s="45"/>
      <c r="CET102" s="43"/>
      <c r="CEU102" s="37"/>
      <c r="CEZ102" s="45"/>
      <c r="CFA102" s="43"/>
      <c r="CFB102" s="37"/>
      <c r="CFG102" s="45"/>
      <c r="CFH102" s="43"/>
      <c r="CFI102" s="37"/>
      <c r="CFN102" s="45"/>
      <c r="CFO102" s="43"/>
      <c r="CFP102" s="37"/>
      <c r="CFU102" s="45"/>
      <c r="CFV102" s="43"/>
      <c r="CFW102" s="37"/>
      <c r="CGB102" s="45"/>
      <c r="CGC102" s="43"/>
      <c r="CGD102" s="37"/>
      <c r="CGI102" s="45"/>
      <c r="CGJ102" s="43"/>
      <c r="CGK102" s="37"/>
      <c r="CGP102" s="45"/>
      <c r="CGQ102" s="43"/>
      <c r="CGR102" s="37"/>
      <c r="CGW102" s="45"/>
      <c r="CGX102" s="43"/>
      <c r="CGY102" s="37"/>
      <c r="CHD102" s="45"/>
      <c r="CHE102" s="43"/>
      <c r="CHF102" s="37"/>
      <c r="CHK102" s="45"/>
      <c r="CHL102" s="43"/>
      <c r="CHM102" s="37"/>
      <c r="CHR102" s="45"/>
      <c r="CHS102" s="43"/>
      <c r="CHT102" s="37"/>
      <c r="CHY102" s="45"/>
      <c r="CHZ102" s="43"/>
      <c r="CIA102" s="37"/>
      <c r="CIF102" s="45"/>
      <c r="CIG102" s="43"/>
      <c r="CIH102" s="37"/>
      <c r="CIM102" s="45"/>
      <c r="CIN102" s="43"/>
      <c r="CIO102" s="37"/>
      <c r="CIT102" s="45"/>
      <c r="CIU102" s="43"/>
      <c r="CIV102" s="37"/>
      <c r="CJA102" s="45"/>
      <c r="CJB102" s="43"/>
      <c r="CJC102" s="37"/>
      <c r="CJH102" s="45"/>
      <c r="CJI102" s="43"/>
      <c r="CJJ102" s="37"/>
      <c r="CJO102" s="45"/>
      <c r="CJP102" s="43"/>
      <c r="CJQ102" s="37"/>
      <c r="CJV102" s="45"/>
      <c r="CJW102" s="43"/>
      <c r="CJX102" s="37"/>
      <c r="CKC102" s="45"/>
      <c r="CKD102" s="43"/>
      <c r="CKE102" s="37"/>
      <c r="CKJ102" s="45"/>
      <c r="CKK102" s="43"/>
      <c r="CKL102" s="37"/>
      <c r="CKQ102" s="45"/>
      <c r="CKR102" s="43"/>
      <c r="CKS102" s="37"/>
      <c r="CKX102" s="45"/>
      <c r="CKY102" s="43"/>
      <c r="CKZ102" s="37"/>
      <c r="CLE102" s="45"/>
      <c r="CLF102" s="43"/>
      <c r="CLG102" s="37"/>
      <c r="CLL102" s="45"/>
      <c r="CLM102" s="43"/>
      <c r="CLN102" s="37"/>
      <c r="CLS102" s="45"/>
      <c r="CLT102" s="43"/>
      <c r="CLU102" s="37"/>
      <c r="CLZ102" s="45"/>
      <c r="CMA102" s="43"/>
      <c r="CMB102" s="37"/>
      <c r="CMG102" s="45"/>
      <c r="CMH102" s="43"/>
      <c r="CMI102" s="37"/>
      <c r="CMN102" s="45"/>
      <c r="CMO102" s="43"/>
      <c r="CMP102" s="37"/>
      <c r="CMU102" s="45"/>
      <c r="CMV102" s="43"/>
      <c r="CMW102" s="37"/>
      <c r="CNB102" s="45"/>
      <c r="CNC102" s="43"/>
      <c r="CND102" s="37"/>
      <c r="CNI102" s="45"/>
      <c r="CNJ102" s="43"/>
      <c r="CNK102" s="37"/>
      <c r="CNP102" s="45"/>
      <c r="CNQ102" s="43"/>
      <c r="CNR102" s="37"/>
      <c r="CNW102" s="45"/>
      <c r="CNX102" s="43"/>
      <c r="CNY102" s="37"/>
      <c r="COD102" s="45"/>
      <c r="COE102" s="43"/>
      <c r="COF102" s="37"/>
      <c r="COK102" s="45"/>
      <c r="COL102" s="43"/>
      <c r="COM102" s="37"/>
      <c r="COR102" s="45"/>
      <c r="COS102" s="43"/>
      <c r="COT102" s="37"/>
      <c r="COY102" s="45"/>
      <c r="COZ102" s="43"/>
      <c r="CPA102" s="37"/>
      <c r="CPF102" s="45"/>
      <c r="CPG102" s="43"/>
      <c r="CPH102" s="37"/>
      <c r="CPM102" s="45"/>
      <c r="CPN102" s="43"/>
      <c r="CPO102" s="37"/>
      <c r="CPT102" s="45"/>
      <c r="CPU102" s="43"/>
      <c r="CPV102" s="37"/>
      <c r="CQA102" s="45"/>
      <c r="CQB102" s="43"/>
      <c r="CQC102" s="37"/>
      <c r="CQH102" s="45"/>
      <c r="CQI102" s="43"/>
      <c r="CQJ102" s="37"/>
      <c r="CQO102" s="45"/>
      <c r="CQP102" s="43"/>
      <c r="CQQ102" s="37"/>
      <c r="CQV102" s="45"/>
      <c r="CQW102" s="43"/>
      <c r="CQX102" s="37"/>
      <c r="CRC102" s="45"/>
      <c r="CRD102" s="43"/>
      <c r="CRE102" s="37"/>
      <c r="CRJ102" s="45"/>
      <c r="CRK102" s="43"/>
      <c r="CRL102" s="37"/>
      <c r="CRQ102" s="45"/>
      <c r="CRR102" s="43"/>
      <c r="CRS102" s="37"/>
      <c r="CRX102" s="45"/>
      <c r="CRY102" s="43"/>
      <c r="CRZ102" s="37"/>
      <c r="CSE102" s="45"/>
      <c r="CSF102" s="43"/>
      <c r="CSG102" s="37"/>
      <c r="CSL102" s="45"/>
      <c r="CSM102" s="43"/>
      <c r="CSN102" s="37"/>
      <c r="CSS102" s="45"/>
      <c r="CST102" s="43"/>
      <c r="CSU102" s="37"/>
      <c r="CSZ102" s="45"/>
      <c r="CTA102" s="43"/>
      <c r="CTB102" s="37"/>
      <c r="CTG102" s="45"/>
      <c r="CTH102" s="43"/>
      <c r="CTI102" s="37"/>
      <c r="CTN102" s="45"/>
      <c r="CTO102" s="43"/>
      <c r="CTP102" s="37"/>
      <c r="CTU102" s="45"/>
      <c r="CTV102" s="43"/>
      <c r="CTW102" s="37"/>
      <c r="CUB102" s="45"/>
    </row>
    <row r="103" s="36" customFormat="1" ht="14.55" spans="1:18">
      <c r="A103"/>
      <c r="B103"/>
      <c r="C103"/>
      <c r="D103"/>
      <c r="E103"/>
      <c r="F103"/>
      <c r="G103" s="56" t="s">
        <v>229</v>
      </c>
      <c r="H103" s="44"/>
      <c r="Q103" s="46"/>
      <c r="R103" s="44"/>
    </row>
    <row r="104" s="36" customFormat="1" ht="13" customHeight="1" spans="1:18">
      <c r="A104" s="50" t="str">
        <f t="shared" ref="A104:A116" si="32">IF(F104&lt;&gt;"","&lt;li&gt;","")</f>
        <v>&lt;li&gt;</v>
      </c>
      <c r="B104" s="41" t="str">
        <f t="shared" ref="B104:B116" si="33">IF(F104&lt;&gt;"",CONCATENATE(A104,F104,C104),"")</f>
        <v>&lt;li&gt;Uso excesivo: Aplicar &lt;mark&gt; a demasiadas palabras puede dificultar la lectura y perder su propósito.&lt;/li&gt;</v>
      </c>
      <c r="C104" s="41" t="str">
        <f t="shared" ref="C104:C116" si="34">IF(F104&lt;&gt;"","&lt;/li&gt;","")</f>
        <v>&lt;/li&gt;</v>
      </c>
      <c r="D104" s="41"/>
      <c r="E104" s="41" t="str">
        <f t="shared" ref="E104:E116" si="35">IF(F104&lt;&gt;"","&lt;/li&gt;","")</f>
        <v>&lt;/li&gt;</v>
      </c>
      <c r="F104" s="42" t="s">
        <v>230</v>
      </c>
      <c r="G104" s="56" t="str">
        <f t="shared" ref="G101:G116" si="36">IF(F104&lt;&gt;"",CONCATENATE(A104,F104,E104),IF(F103&lt;&gt;"","&lt;/ul&gt;",""))</f>
        <v>&lt;li&gt;Uso excesivo: Aplicar &lt;mark&gt; a demasiadas palabras puede dificultar la lectura y perder su propósito.&lt;/li&gt;</v>
      </c>
      <c r="H104" s="44"/>
      <c r="Q104" s="46"/>
      <c r="R104" s="44"/>
    </row>
    <row r="105" s="36" customFormat="1" spans="1:18">
      <c r="A105" s="37" t="str">
        <f t="shared" si="32"/>
        <v>&lt;li&gt;</v>
      </c>
      <c r="B105" s="36" t="str">
        <f t="shared" si="33"/>
        <v>&lt;li&gt;Uso incorrecto para negritas o énfasis: No debe sustituir &lt;strong&gt; o &lt;em&gt;, ya que su función es diferente.&lt;/li&gt;</v>
      </c>
      <c r="C105" s="36" t="str">
        <f t="shared" si="34"/>
        <v>&lt;/li&gt;</v>
      </c>
      <c r="E105" s="36" t="str">
        <f t="shared" si="35"/>
        <v>&lt;/li&gt;</v>
      </c>
      <c r="F105" s="45" t="s">
        <v>231</v>
      </c>
      <c r="G105" s="43" t="str">
        <f t="shared" si="36"/>
        <v>&lt;li&gt;Uso incorrecto para negritas o énfasis: No debe sustituir &lt;strong&gt; o &lt;em&gt;, ya que su función es diferente.&lt;/li&gt;</v>
      </c>
      <c r="H105" s="44"/>
      <c r="Q105" s="46"/>
      <c r="R105" s="44"/>
    </row>
    <row r="106" s="36" customFormat="1" spans="1:18">
      <c r="A106" s="37" t="str">
        <f t="shared" si="32"/>
        <v>&lt;li&gt;</v>
      </c>
      <c r="B106" s="36" t="str">
        <f t="shared" si="33"/>
        <v>&lt;li&gt;Falta de contraste: Se debe verificar que el color de resaltado tenga suficiente contraste con el fondo para garantizar la accesibilidad.&lt;/li&gt;</v>
      </c>
      <c r="C106" s="36" t="str">
        <f t="shared" si="34"/>
        <v>&lt;/li&gt;</v>
      </c>
      <c r="E106" s="36" t="str">
        <f t="shared" si="35"/>
        <v>&lt;/li&gt;</v>
      </c>
      <c r="F106" s="45" t="s">
        <v>232</v>
      </c>
      <c r="G106" s="43" t="str">
        <f t="shared" si="36"/>
        <v>&lt;li&gt;Falta de contraste: Se debe verificar que el color de resaltado tenga suficiente contraste con el fondo para garantizar la accesibilidad.&lt;/li&gt;</v>
      </c>
      <c r="H106" s="44"/>
      <c r="Q106" s="46"/>
      <c r="R106" s="44"/>
    </row>
    <row r="107" s="36" customFormat="1" spans="1:18">
      <c r="A107" s="37" t="str">
        <f t="shared" si="32"/>
        <v>&lt;li&gt;</v>
      </c>
      <c r="B107" s="36" t="str">
        <f t="shared" si="33"/>
        <v>&lt;li&gt;Uso fuera de contexto: No se recomienda su uso en elementos de navegación o títulos donde el énfasis semántico no sea necesario.&lt;/li&gt;</v>
      </c>
      <c r="C107" s="36" t="str">
        <f t="shared" si="34"/>
        <v>&lt;/li&gt;</v>
      </c>
      <c r="E107" s="36" t="str">
        <f t="shared" si="35"/>
        <v>&lt;/li&gt;</v>
      </c>
      <c r="F107" s="45" t="s">
        <v>233</v>
      </c>
      <c r="G107" s="43" t="str">
        <f t="shared" si="36"/>
        <v>&lt;li&gt;Uso fuera de contexto: No se recomienda su uso en elementos de navegación o títulos donde el énfasis semántico no sea necesario.&lt;/li&gt;</v>
      </c>
      <c r="H107" s="44"/>
      <c r="Q107" s="46"/>
      <c r="R107" s="44"/>
    </row>
    <row r="108" s="36" customFormat="1" spans="1:18">
      <c r="A108" s="37" t="str">
        <f t="shared" si="32"/>
        <v/>
      </c>
      <c r="B108" s="36" t="str">
        <f t="shared" si="33"/>
        <v/>
      </c>
      <c r="C108" s="36" t="str">
        <f t="shared" si="34"/>
        <v/>
      </c>
      <c r="E108" s="36" t="str">
        <f t="shared" si="35"/>
        <v/>
      </c>
      <c r="F108" s="45"/>
      <c r="G108" s="43" t="str">
        <f t="shared" si="36"/>
        <v>&lt;/ul&gt;</v>
      </c>
      <c r="H108" s="44"/>
      <c r="Q108" s="46"/>
      <c r="R108" s="44"/>
    </row>
    <row r="109" s="36" customFormat="1" spans="1:18">
      <c r="A109" s="37" t="str">
        <f t="shared" si="32"/>
        <v/>
      </c>
      <c r="B109" s="36" t="str">
        <f t="shared" si="33"/>
        <v/>
      </c>
      <c r="C109" s="36" t="str">
        <f t="shared" si="34"/>
        <v/>
      </c>
      <c r="E109" s="36" t="str">
        <f t="shared" si="35"/>
        <v/>
      </c>
      <c r="F109" s="45"/>
      <c r="G109" s="43" t="str">
        <f t="shared" si="36"/>
        <v/>
      </c>
      <c r="H109" s="44"/>
      <c r="Q109" s="46"/>
      <c r="R109" s="44"/>
    </row>
    <row r="110" s="36" customFormat="1" spans="1:18">
      <c r="A110" s="37" t="str">
        <f t="shared" si="32"/>
        <v/>
      </c>
      <c r="B110" s="36" t="str">
        <f t="shared" si="33"/>
        <v/>
      </c>
      <c r="C110" s="36" t="str">
        <f t="shared" si="34"/>
        <v/>
      </c>
      <c r="E110" s="36" t="str">
        <f t="shared" si="35"/>
        <v/>
      </c>
      <c r="F110" s="45"/>
      <c r="G110" s="43" t="str">
        <f t="shared" si="36"/>
        <v/>
      </c>
      <c r="H110" s="44"/>
      <c r="Q110" s="46"/>
      <c r="R110" s="44"/>
    </row>
    <row r="111" s="36" customFormat="1" spans="1:18">
      <c r="A111" s="37" t="str">
        <f t="shared" si="32"/>
        <v/>
      </c>
      <c r="B111" s="36" t="str">
        <f t="shared" si="33"/>
        <v/>
      </c>
      <c r="C111" s="36" t="str">
        <f t="shared" si="34"/>
        <v/>
      </c>
      <c r="E111" s="36" t="str">
        <f t="shared" si="35"/>
        <v/>
      </c>
      <c r="F111" s="45"/>
      <c r="G111" s="43" t="str">
        <f t="shared" si="36"/>
        <v/>
      </c>
      <c r="H111" s="44"/>
      <c r="Q111" s="46"/>
      <c r="R111" s="44"/>
    </row>
    <row r="112" s="36" customFormat="1" spans="1:18">
      <c r="A112" s="37" t="str">
        <f t="shared" si="32"/>
        <v/>
      </c>
      <c r="B112" s="36" t="str">
        <f t="shared" si="33"/>
        <v/>
      </c>
      <c r="C112" s="36" t="str">
        <f t="shared" si="34"/>
        <v/>
      </c>
      <c r="E112" s="36" t="str">
        <f t="shared" si="35"/>
        <v/>
      </c>
      <c r="F112" s="45"/>
      <c r="G112" s="43" t="str">
        <f t="shared" si="36"/>
        <v/>
      </c>
      <c r="H112" s="44"/>
      <c r="Q112" s="46"/>
      <c r="R112" s="44"/>
    </row>
    <row r="113" s="36" customFormat="1" spans="1:18">
      <c r="A113" s="37" t="str">
        <f t="shared" si="32"/>
        <v/>
      </c>
      <c r="B113" s="36" t="str">
        <f t="shared" si="33"/>
        <v/>
      </c>
      <c r="C113" s="36" t="str">
        <f t="shared" si="34"/>
        <v/>
      </c>
      <c r="E113" s="36" t="str">
        <f t="shared" si="35"/>
        <v/>
      </c>
      <c r="F113" s="45"/>
      <c r="G113" s="43" t="str">
        <f t="shared" si="36"/>
        <v/>
      </c>
      <c r="H113" s="44"/>
      <c r="Q113" s="46"/>
      <c r="R113" s="44"/>
    </row>
    <row r="114" s="36" customFormat="1" spans="1:18">
      <c r="A114" s="37" t="str">
        <f t="shared" si="32"/>
        <v/>
      </c>
      <c r="B114" s="36" t="str">
        <f t="shared" si="33"/>
        <v/>
      </c>
      <c r="C114" s="36" t="str">
        <f t="shared" si="34"/>
        <v/>
      </c>
      <c r="E114" s="36" t="str">
        <f t="shared" si="35"/>
        <v/>
      </c>
      <c r="F114" s="45"/>
      <c r="G114" s="43" t="str">
        <f t="shared" si="36"/>
        <v/>
      </c>
      <c r="H114" s="44"/>
      <c r="Q114" s="46"/>
      <c r="R114" s="44"/>
    </row>
    <row r="115" s="36" customFormat="1" ht="14.55" spans="1:18">
      <c r="A115" s="51" t="str">
        <f t="shared" si="32"/>
        <v/>
      </c>
      <c r="B115" s="47" t="str">
        <f t="shared" si="33"/>
        <v/>
      </c>
      <c r="C115" s="47" t="str">
        <f t="shared" si="34"/>
        <v/>
      </c>
      <c r="D115" s="47"/>
      <c r="E115" s="47" t="str">
        <f t="shared" si="35"/>
        <v/>
      </c>
      <c r="F115" s="52"/>
      <c r="G115" s="49" t="str">
        <f t="shared" si="36"/>
        <v/>
      </c>
      <c r="H115" s="44"/>
      <c r="Q115" s="46"/>
      <c r="R115" s="44"/>
    </row>
    <row r="116" customFormat="1" ht="14.55" spans="7:10">
      <c r="G116" s="49" t="s">
        <v>234</v>
      </c>
      <c r="H116" s="44"/>
      <c r="J116" s="36"/>
    </row>
    <row r="118" customFormat="1" ht="14.55" spans="1:8">
      <c r="A118" s="36"/>
      <c r="B118" s="36"/>
      <c r="C118" s="36"/>
      <c r="D118" s="36"/>
      <c r="E118" s="36"/>
      <c r="F118" s="36"/>
      <c r="G118" s="36" t="s">
        <v>235</v>
      </c>
      <c r="H118" s="36"/>
    </row>
    <row r="119" customFormat="1" ht="14.55" spans="1:8">
      <c r="A119" s="37"/>
      <c r="B119" s="38"/>
      <c r="C119" s="38"/>
      <c r="D119" s="38"/>
      <c r="E119" s="38"/>
      <c r="F119" s="36"/>
      <c r="G119" s="56" t="s">
        <v>208</v>
      </c>
      <c r="H119" s="44"/>
    </row>
    <row r="120" customFormat="1" spans="1:8">
      <c r="A120" s="41" t="str">
        <f t="shared" ref="A120:A127" si="37">IF(F120&lt;&gt;"","&lt;li&gt;&lt;b&gt;&amp;lt;","")</f>
        <v>&lt;li&gt;&lt;b&gt;&amp;lt;</v>
      </c>
      <c r="B120" s="41" t="str">
        <f t="shared" ref="B120:B127" si="38">IF(F120&lt;&gt;"",LEFT(F120,FIND(":",F120,1)-1),"")</f>
        <v>&amp;lt;header&gt;</v>
      </c>
      <c r="C120" s="41" t="str">
        <f t="shared" ref="C120:C127" si="39">IF(F120&lt;&gt;"","&lt;/b&gt;","")</f>
        <v>&lt;/b&gt;</v>
      </c>
      <c r="D120" s="41" t="str">
        <f t="shared" ref="D120:D127" si="40">IF(F120&lt;&gt;"",RIGHT(F120,LEN(F120)-FIND(":",F120,1)),"")</f>
        <v> Representa la cabecera de la página.</v>
      </c>
      <c r="E120" s="41" t="str">
        <f t="shared" ref="E120:E127" si="41">IF(F120&lt;&gt;"","&lt;/li&gt;","")</f>
        <v>&lt;/li&gt;</v>
      </c>
      <c r="F120" s="45" t="s">
        <v>236</v>
      </c>
      <c r="G120" s="43" t="str">
        <f t="shared" ref="G120:G140" si="42">IF(F120&lt;&gt;"",CONCATENATE(A120,B120,,"&gt;",C120,":",D120,E120),IF(F119&lt;&gt;"","&lt;/ul&gt;",""))</f>
        <v>&lt;li&gt;&lt;b&gt;&amp;lt;&amp;lt;header&gt;&gt;&lt;/b&gt;: Representa la cabecera de la página.&lt;/li&gt;</v>
      </c>
      <c r="H120" s="44"/>
    </row>
    <row r="121" customFormat="1" spans="1:8">
      <c r="A121" s="36" t="str">
        <f t="shared" si="37"/>
        <v>&lt;li&gt;&lt;b&gt;&amp;lt;</v>
      </c>
      <c r="B121" s="36" t="str">
        <f t="shared" si="38"/>
        <v>&amp;lt;nav&gt;</v>
      </c>
      <c r="C121" s="36" t="str">
        <f t="shared" si="39"/>
        <v>&lt;/b&gt;</v>
      </c>
      <c r="D121" s="36" t="str">
        <f t="shared" si="40"/>
        <v> Define la navegación principal.</v>
      </c>
      <c r="E121" s="36" t="str">
        <f t="shared" si="41"/>
        <v>&lt;/li&gt;</v>
      </c>
      <c r="F121" s="45" t="s">
        <v>237</v>
      </c>
      <c r="G121" s="43" t="str">
        <f t="shared" si="42"/>
        <v>&lt;li&gt;&lt;b&gt;&amp;lt;&amp;lt;nav&gt;&gt;&lt;/b&gt;: Define la navegación principal.&lt;/li&gt;</v>
      </c>
      <c r="H121" s="44"/>
    </row>
    <row r="122" customFormat="1" spans="1:8">
      <c r="A122" s="36" t="str">
        <f t="shared" si="37"/>
        <v>&lt;li&gt;&lt;b&gt;&amp;lt;</v>
      </c>
      <c r="B122" s="36" t="str">
        <f t="shared" si="38"/>
        <v>&amp;lt;main&gt;</v>
      </c>
      <c r="C122" s="36" t="str">
        <f t="shared" si="39"/>
        <v>&lt;/b&gt;</v>
      </c>
      <c r="D122" s="36" t="str">
        <f t="shared" si="40"/>
        <v> Contiene el contenido principal del sitio.</v>
      </c>
      <c r="E122" s="36" t="str">
        <f t="shared" si="41"/>
        <v>&lt;/li&gt;</v>
      </c>
      <c r="F122" s="45" t="s">
        <v>238</v>
      </c>
      <c r="G122" s="43" t="str">
        <f t="shared" si="42"/>
        <v>&lt;li&gt;&lt;b&gt;&amp;lt;&amp;lt;main&gt;&gt;&lt;/b&gt;: Contiene el contenido principal del sitio.&lt;/li&gt;</v>
      </c>
      <c r="H122" s="44"/>
    </row>
    <row r="123" customFormat="1" spans="1:8">
      <c r="A123" s="36" t="str">
        <f t="shared" si="37"/>
        <v>&lt;li&gt;&lt;b&gt;&amp;lt;</v>
      </c>
      <c r="B123" s="36" t="str">
        <f t="shared" si="38"/>
        <v>&amp;lt;section&gt;</v>
      </c>
      <c r="C123" s="36" t="str">
        <f t="shared" si="39"/>
        <v>&lt;/b&gt;</v>
      </c>
      <c r="D123" s="36" t="str">
        <f t="shared" si="40"/>
        <v> Agrupa contenido temáticamente relacionado.</v>
      </c>
      <c r="E123" s="36" t="str">
        <f t="shared" si="41"/>
        <v>&lt;/li&gt;</v>
      </c>
      <c r="F123" s="45" t="s">
        <v>239</v>
      </c>
      <c r="G123" s="43" t="str">
        <f t="shared" si="42"/>
        <v>&lt;li&gt;&lt;b&gt;&amp;lt;&amp;lt;section&gt;&gt;&lt;/b&gt;: Agrupa contenido temáticamente relacionado.&lt;/li&gt;</v>
      </c>
      <c r="H123" s="44"/>
    </row>
    <row r="124" customFormat="1" spans="1:8">
      <c r="A124" s="36" t="str">
        <f t="shared" si="37"/>
        <v>&lt;li&gt;&lt;b&gt;&amp;lt;</v>
      </c>
      <c r="B124" s="36" t="str">
        <f t="shared" si="38"/>
        <v>&amp;lt;article&gt;</v>
      </c>
      <c r="C124" s="36" t="str">
        <f t="shared" si="39"/>
        <v>&lt;/b&gt;</v>
      </c>
      <c r="D124" s="36" t="str">
        <f t="shared" si="40"/>
        <v> Representa artículos o unidades de contenido independientes.</v>
      </c>
      <c r="E124" s="36" t="str">
        <f t="shared" si="41"/>
        <v>&lt;/li&gt;</v>
      </c>
      <c r="F124" s="45" t="s">
        <v>240</v>
      </c>
      <c r="G124" s="43" t="str">
        <f t="shared" si="42"/>
        <v>&lt;li&gt;&lt;b&gt;&amp;lt;&amp;lt;article&gt;&gt;&lt;/b&gt;: Representa artículos o unidades de contenido independientes.&lt;/li&gt;</v>
      </c>
      <c r="H124" s="44"/>
    </row>
    <row r="125" customFormat="1" spans="1:8">
      <c r="A125" s="36" t="str">
        <f t="shared" si="37"/>
        <v>&lt;li&gt;&lt;b&gt;&amp;lt;</v>
      </c>
      <c r="B125" s="36" t="str">
        <f t="shared" si="38"/>
        <v>&amp;lt;figure&gt;</v>
      </c>
      <c r="C125" s="36" t="str">
        <f t="shared" si="39"/>
        <v>&lt;/b&gt;</v>
      </c>
      <c r="D125" s="36" t="str">
        <f t="shared" si="40"/>
        <v> Agrupa contenido multimedia, como imágenes.</v>
      </c>
      <c r="E125" s="36" t="str">
        <f t="shared" si="41"/>
        <v>&lt;/li&gt;</v>
      </c>
      <c r="F125" s="45" t="s">
        <v>241</v>
      </c>
      <c r="G125" s="43" t="str">
        <f t="shared" si="42"/>
        <v>&lt;li&gt;&lt;b&gt;&amp;lt;&amp;lt;figure&gt;&gt;&lt;/b&gt;: Agrupa contenido multimedia, como imágenes.&lt;/li&gt;</v>
      </c>
      <c r="H125" s="44"/>
    </row>
    <row r="126" customFormat="1" spans="1:8">
      <c r="A126" s="36" t="str">
        <f t="shared" si="37"/>
        <v>&lt;li&gt;&lt;b&gt;&amp;lt;</v>
      </c>
      <c r="B126" s="36" t="str">
        <f t="shared" si="38"/>
        <v>&amp;lt;figcaption&gt;</v>
      </c>
      <c r="C126" s="36" t="str">
        <f t="shared" si="39"/>
        <v>&lt;/b&gt;</v>
      </c>
      <c r="D126" s="36" t="str">
        <f t="shared" si="40"/>
        <v> Proporciona una descripción para la figura.</v>
      </c>
      <c r="E126" s="36" t="str">
        <f t="shared" si="41"/>
        <v>&lt;/li&gt;</v>
      </c>
      <c r="F126" s="45" t="s">
        <v>242</v>
      </c>
      <c r="G126" s="43" t="str">
        <f t="shared" si="42"/>
        <v>&lt;li&gt;&lt;b&gt;&amp;lt;&amp;lt;figcaption&gt;&gt;&lt;/b&gt;: Proporciona una descripción para la figura.&lt;/li&gt;</v>
      </c>
      <c r="H126" s="44"/>
    </row>
    <row r="127" customFormat="1" spans="1:8">
      <c r="A127" s="36" t="str">
        <f t="shared" si="37"/>
        <v>&lt;li&gt;&lt;b&gt;&amp;lt;</v>
      </c>
      <c r="B127" s="36" t="str">
        <f t="shared" si="38"/>
        <v>&amp;lt;time&gt;</v>
      </c>
      <c r="C127" s="36" t="str">
        <f t="shared" si="39"/>
        <v>&lt;/b&gt;</v>
      </c>
      <c r="D127" s="36" t="str">
        <f t="shared" si="40"/>
        <v> Representa una fecha o una hora específica.</v>
      </c>
      <c r="E127" s="36" t="str">
        <f t="shared" si="41"/>
        <v>&lt;/li&gt;</v>
      </c>
      <c r="F127" s="45" t="s">
        <v>243</v>
      </c>
      <c r="G127" s="43" t="str">
        <f t="shared" si="42"/>
        <v>&lt;li&gt;&lt;b&gt;&amp;lt;&amp;lt;time&gt;&gt;&lt;/b&gt;: Representa una fecha o una hora específica.&lt;/li&gt;</v>
      </c>
      <c r="H127" s="44"/>
    </row>
    <row r="128" customFormat="1" spans="1:8">
      <c r="A128" s="36" t="str">
        <f t="shared" ref="A128:A139" si="43">IF(F128&lt;&gt;"","&lt;li&gt;&lt;b&gt;&amp;lt;","")</f>
        <v>&lt;li&gt;&lt;b&gt;&amp;lt;</v>
      </c>
      <c r="B128" s="36" t="str">
        <f t="shared" ref="B128:B139" si="44">IF(F128&lt;&gt;"",LEFT(F128,FIND(":",F128,1)-1),"")</f>
        <v>&amp;lt;mark&gt;</v>
      </c>
      <c r="C128" s="36" t="str">
        <f t="shared" ref="C128:C139" si="45">IF(F128&lt;&gt;"","&lt;/b&gt;","")</f>
        <v>&lt;/b&gt;</v>
      </c>
      <c r="D128" s="36" t="str">
        <f t="shared" ref="D128:D139" si="46">IF(F128&lt;&gt;"",RIGHT(F128,LEN(F128)-FIND(":",F128,1)),"")</f>
        <v> Resalta texto importante sin alterar la semántica.</v>
      </c>
      <c r="E128" s="36" t="str">
        <f t="shared" ref="E128:E139" si="47">IF(F128&lt;&gt;"","&lt;/li&gt;","")</f>
        <v>&lt;/li&gt;</v>
      </c>
      <c r="F128" s="45" t="s">
        <v>244</v>
      </c>
      <c r="G128" s="43" t="str">
        <f t="shared" si="42"/>
        <v>&lt;li&gt;&lt;b&gt;&amp;lt;&amp;lt;mark&gt;&gt;&lt;/b&gt;: Resalta texto importante sin alterar la semántica.&lt;/li&gt;</v>
      </c>
      <c r="H128" s="44"/>
    </row>
    <row r="129" customFormat="1" spans="1:8">
      <c r="A129" s="36" t="str">
        <f t="shared" si="43"/>
        <v>&lt;li&gt;&lt;b&gt;&amp;lt;</v>
      </c>
      <c r="B129" s="36" t="str">
        <f t="shared" si="44"/>
        <v>&amp;lt;aside&gt;</v>
      </c>
      <c r="C129" s="36" t="str">
        <f t="shared" si="45"/>
        <v>&lt;/b&gt;</v>
      </c>
      <c r="D129" s="36" t="str">
        <f t="shared" si="46"/>
        <v> Contiene contenido complementario o relacionado.</v>
      </c>
      <c r="E129" s="36" t="str">
        <f t="shared" si="47"/>
        <v>&lt;/li&gt;</v>
      </c>
      <c r="F129" s="45" t="s">
        <v>245</v>
      </c>
      <c r="G129" s="43" t="str">
        <f t="shared" si="42"/>
        <v>&lt;li&gt;&lt;b&gt;&amp;lt;&amp;lt;aside&gt;&gt;&lt;/b&gt;: Contiene contenido complementario o relacionado.&lt;/li&gt;</v>
      </c>
      <c r="H129" s="44"/>
    </row>
    <row r="130" customFormat="1" spans="1:8">
      <c r="A130" s="36" t="str">
        <f t="shared" si="43"/>
        <v>&lt;li&gt;&lt;b&gt;&amp;lt;</v>
      </c>
      <c r="B130" s="36" t="str">
        <f t="shared" si="44"/>
        <v>&amp;lt;dialog&gt;</v>
      </c>
      <c r="C130" s="36" t="str">
        <f t="shared" si="45"/>
        <v>&lt;/b&gt;</v>
      </c>
      <c r="D130" s="36" t="str">
        <f t="shared" si="46"/>
        <v> Representa un cuadro de diálogo interactivo.</v>
      </c>
      <c r="E130" s="36" t="str">
        <f t="shared" si="47"/>
        <v>&lt;/li&gt;</v>
      </c>
      <c r="F130" s="45" t="s">
        <v>246</v>
      </c>
      <c r="G130" s="43" t="str">
        <f t="shared" si="42"/>
        <v>&lt;li&gt;&lt;b&gt;&amp;lt;&amp;lt;dialog&gt;&gt;&lt;/b&gt;: Representa un cuadro de diálogo interactivo.&lt;/li&gt;</v>
      </c>
      <c r="H130" s="44"/>
    </row>
    <row r="131" customFormat="1" spans="1:8">
      <c r="A131" s="36" t="str">
        <f t="shared" si="43"/>
        <v/>
      </c>
      <c r="B131" s="36" t="str">
        <f t="shared" si="44"/>
        <v/>
      </c>
      <c r="C131" s="36" t="str">
        <f t="shared" si="45"/>
        <v/>
      </c>
      <c r="D131" s="36" t="str">
        <f t="shared" si="46"/>
        <v/>
      </c>
      <c r="E131" s="36" t="str">
        <f t="shared" si="47"/>
        <v/>
      </c>
      <c r="F131" s="45"/>
      <c r="G131" s="43" t="str">
        <f t="shared" si="42"/>
        <v>&lt;/ul&gt;</v>
      </c>
      <c r="H131" s="44"/>
    </row>
    <row r="132" customFormat="1" spans="1:8">
      <c r="A132" s="36" t="str">
        <f t="shared" si="43"/>
        <v/>
      </c>
      <c r="B132" s="36" t="str">
        <f t="shared" si="44"/>
        <v/>
      </c>
      <c r="C132" s="36" t="str">
        <f t="shared" si="45"/>
        <v/>
      </c>
      <c r="D132" s="36" t="str">
        <f t="shared" si="46"/>
        <v/>
      </c>
      <c r="E132" s="36" t="str">
        <f t="shared" si="47"/>
        <v/>
      </c>
      <c r="F132" s="45"/>
      <c r="G132" s="43" t="str">
        <f t="shared" si="42"/>
        <v/>
      </c>
      <c r="H132" s="44"/>
    </row>
    <row r="133" customFormat="1" spans="1:8">
      <c r="A133" s="36" t="str">
        <f t="shared" si="43"/>
        <v/>
      </c>
      <c r="B133" s="36" t="str">
        <f t="shared" si="44"/>
        <v/>
      </c>
      <c r="C133" s="36" t="str">
        <f t="shared" si="45"/>
        <v/>
      </c>
      <c r="D133" s="36" t="str">
        <f t="shared" si="46"/>
        <v/>
      </c>
      <c r="E133" s="36" t="str">
        <f t="shared" si="47"/>
        <v/>
      </c>
      <c r="F133" s="45"/>
      <c r="G133" s="43" t="str">
        <f t="shared" si="42"/>
        <v/>
      </c>
      <c r="H133" s="44"/>
    </row>
    <row r="134" customFormat="1" spans="1:8">
      <c r="A134" s="36" t="str">
        <f t="shared" si="43"/>
        <v/>
      </c>
      <c r="B134" s="36" t="str">
        <f t="shared" si="44"/>
        <v/>
      </c>
      <c r="C134" s="36" t="str">
        <f t="shared" si="45"/>
        <v/>
      </c>
      <c r="D134" s="36" t="str">
        <f t="shared" si="46"/>
        <v/>
      </c>
      <c r="E134" s="36" t="str">
        <f t="shared" si="47"/>
        <v/>
      </c>
      <c r="F134" s="45"/>
      <c r="G134" s="43" t="str">
        <f t="shared" si="42"/>
        <v/>
      </c>
      <c r="H134" s="44"/>
    </row>
    <row r="135" customFormat="1" spans="1:8">
      <c r="A135" s="36" t="str">
        <f t="shared" si="43"/>
        <v/>
      </c>
      <c r="B135" s="36" t="str">
        <f t="shared" si="44"/>
        <v/>
      </c>
      <c r="C135" s="36" t="str">
        <f t="shared" si="45"/>
        <v/>
      </c>
      <c r="D135" s="36" t="str">
        <f t="shared" si="46"/>
        <v/>
      </c>
      <c r="E135" s="36" t="str">
        <f t="shared" si="47"/>
        <v/>
      </c>
      <c r="F135" s="45"/>
      <c r="G135" s="43" t="str">
        <f t="shared" si="42"/>
        <v/>
      </c>
      <c r="H135" s="44"/>
    </row>
    <row r="136" spans="1:8">
      <c r="A136" s="36" t="str">
        <f t="shared" si="43"/>
        <v/>
      </c>
      <c r="B136" s="36" t="str">
        <f t="shared" si="44"/>
        <v/>
      </c>
      <c r="C136" s="36" t="str">
        <f t="shared" si="45"/>
        <v/>
      </c>
      <c r="D136" s="36" t="str">
        <f t="shared" si="46"/>
        <v/>
      </c>
      <c r="E136" s="36" t="str">
        <f t="shared" si="47"/>
        <v/>
      </c>
      <c r="F136" s="45"/>
      <c r="G136" s="43" t="str">
        <f t="shared" si="42"/>
        <v/>
      </c>
      <c r="H136" s="44"/>
    </row>
    <row r="137" spans="1:8">
      <c r="A137" s="36" t="str">
        <f t="shared" si="43"/>
        <v/>
      </c>
      <c r="B137" s="36" t="str">
        <f t="shared" si="44"/>
        <v/>
      </c>
      <c r="C137" s="36" t="str">
        <f t="shared" si="45"/>
        <v/>
      </c>
      <c r="D137" s="36" t="str">
        <f t="shared" si="46"/>
        <v/>
      </c>
      <c r="E137" s="36" t="str">
        <f t="shared" si="47"/>
        <v/>
      </c>
      <c r="F137" s="45"/>
      <c r="G137" s="43" t="str">
        <f t="shared" si="42"/>
        <v/>
      </c>
      <c r="H137" s="44"/>
    </row>
    <row r="138" spans="1:8">
      <c r="A138" s="36" t="str">
        <f t="shared" si="43"/>
        <v/>
      </c>
      <c r="B138" s="36" t="str">
        <f t="shared" si="44"/>
        <v/>
      </c>
      <c r="C138" s="36" t="str">
        <f t="shared" si="45"/>
        <v/>
      </c>
      <c r="D138" s="36" t="str">
        <f t="shared" si="46"/>
        <v/>
      </c>
      <c r="E138" s="36" t="str">
        <f t="shared" si="47"/>
        <v/>
      </c>
      <c r="F138" s="45"/>
      <c r="G138" s="43" t="str">
        <f t="shared" si="42"/>
        <v/>
      </c>
      <c r="H138" s="44"/>
    </row>
    <row r="139" ht="14.55" spans="1:8">
      <c r="A139" s="47" t="str">
        <f t="shared" si="43"/>
        <v/>
      </c>
      <c r="B139" s="47" t="str">
        <f t="shared" si="44"/>
        <v/>
      </c>
      <c r="C139" s="47" t="str">
        <f t="shared" si="45"/>
        <v/>
      </c>
      <c r="D139" s="47" t="str">
        <f t="shared" si="46"/>
        <v/>
      </c>
      <c r="E139" s="47" t="str">
        <f t="shared" si="47"/>
        <v/>
      </c>
      <c r="F139" s="52"/>
      <c r="G139" s="43" t="str">
        <f t="shared" si="42"/>
        <v/>
      </c>
      <c r="H139" s="44"/>
    </row>
    <row r="140" spans="1:8">
      <c r="A140" s="36"/>
      <c r="B140" s="38" t="s">
        <v>2</v>
      </c>
      <c r="C140" s="38" t="str">
        <f>IF(F140&lt;&gt;"","&lt;/strong&gt;","")</f>
        <v/>
      </c>
      <c r="D140" s="38"/>
      <c r="E140" s="38"/>
      <c r="F140" s="36"/>
      <c r="G140" s="43" t="str">
        <f t="shared" si="42"/>
        <v/>
      </c>
      <c r="H140" s="44"/>
    </row>
    <row r="143" s="36" customFormat="1" ht="14.55" spans="1:18">
      <c r="A143"/>
      <c r="B143"/>
      <c r="C143"/>
      <c r="D143"/>
      <c r="E143"/>
      <c r="F143"/>
      <c r="G143" t="s">
        <v>247</v>
      </c>
      <c r="H143" s="36"/>
      <c r="Q143" s="46"/>
      <c r="R143" s="44"/>
    </row>
    <row r="144" s="36" customFormat="1" ht="13" customHeight="1" spans="1:18">
      <c r="A144" s="50" t="str">
        <f t="shared" ref="A144:A155" si="48">IF(F144&lt;&gt;"","&lt;p&gt;","")</f>
        <v>&lt;p&gt;</v>
      </c>
      <c r="B144" s="41" t="str">
        <f t="shared" ref="B144:B155" si="49">IF(F144&lt;&gt;"",CONCATENATE(A144,F144,C144),"")</f>
        <v>&lt;p&gt;El elemento &lt;span&gt; se define como un contenedor genérico en línea que abarca y agrupa contenido sin aportar significado semántico específico al documento. La etimología del término "span" proviene del inglés "abarcar" o "extenderse", lo que refleja perfectamente su función de envolver y delimitar porciones de contenido para su posterior manipulación. A diferencia de elementos estructurales como &lt;div&gt; que operan a nivel de bloque, &lt;span&gt; funciona exclusivamente como elemento en línea, integrado dentro del flujo textual sin generar saltos de línea antes o después de su contenido. </v>
      </c>
      <c r="C144" s="41" t="s">
        <v>2</v>
      </c>
      <c r="D144" s="41"/>
      <c r="E144" s="58" t="str">
        <f t="shared" ref="E144:E155" si="50">IF(F144&lt;&gt;"","&lt;/p&gt;","")</f>
        <v>&lt;/p&gt;</v>
      </c>
      <c r="F144" s="59" t="s">
        <v>248</v>
      </c>
      <c r="G144" s="60" t="str">
        <f t="shared" ref="G144:G155" si="51">CONCATENATE(A144,F144,E144)</f>
        <v>&lt;p&gt;El elemento &lt;span&gt; se define como un contenedor genérico en línea que abarca y agrupa contenido sin aportar significado semántico específico al documento. La etimología del término "span" proviene del inglés "abarcar" o "extenderse", lo que refleja perfectamente su función de envolver y delimitar porciones de contenido para su posterior manipulación. A diferencia de elementos estructurales como &lt;div&gt; que operan a nivel de bloque, &lt;span&gt; funciona exclusivamente como elemento en línea, integrado dentro del flujo textual sin generar saltos de línea antes o después de su contenido.&lt;/p&gt;</v>
      </c>
      <c r="H144" s="44"/>
      <c r="Q144" s="46"/>
      <c r="R144" s="44"/>
    </row>
    <row r="145" s="36" customFormat="1" spans="1:18">
      <c r="A145" s="37" t="str">
        <f t="shared" si="48"/>
        <v>&lt;p&gt;</v>
      </c>
      <c r="B145" s="38" t="str">
        <f t="shared" si="49"/>
        <v>&lt;p&gt;La naturaleza inline del elemento &lt;span&gt; significa que se comporta como texto normal dentro del documento, permitiendo que múltiples elementos span coexistan en la misma línea sin interrumpir la continuidad visual del contenido. Esta característica lo convierte en la herramienta ideal para aplicar cambios de formato a palabras específicas, frases cortas o cualquier fragmento de texto que requiera tratamiento diferenciado sin alterar la estructura general del párrafo o elemento contenedor. </v>
      </c>
      <c r="C145" s="38" t="s">
        <v>2</v>
      </c>
      <c r="D145" s="38"/>
      <c r="E145" s="61" t="str">
        <f t="shared" si="50"/>
        <v>&lt;/p&gt;</v>
      </c>
      <c r="F145" s="62" t="s">
        <v>249</v>
      </c>
      <c r="G145" s="63" t="str">
        <f t="shared" si="51"/>
        <v>&lt;p&gt;La naturaleza inline del elemento &lt;span&gt; significa que se comporta como texto normal dentro del documento, permitiendo que múltiples elementos span coexistan en la misma línea sin interrumpir la continuidad visual del contenido. Esta característica lo convierte en la herramienta ideal para aplicar cambios de formato a palabras específicas, frases cortas o cualquier fragmento de texto que requiera tratamiento diferenciado sin alterar la estructura general del párrafo o elemento contenedor.&lt;/p&gt;</v>
      </c>
      <c r="H145" s="44"/>
      <c r="Q145" s="46"/>
      <c r="R145" s="44"/>
    </row>
    <row r="146" s="36" customFormat="1" spans="1:18">
      <c r="A146" s="37" t="str">
        <f t="shared" si="48"/>
        <v>&lt;p&gt;</v>
      </c>
      <c r="B146" s="38" t="str">
        <f t="shared" si="49"/>
        <v>&lt;p&gt;El elemento &lt;span&gt; se clasifica como un elemento especial dentro de la especificación HTML, lo que significa que puede contener tanto texto como otros elementos en línea, proporcionando flexibilidad para crear estructuras de contenido complejas. Su versatilidad se extiende a la capacidad de anidar otros elementos span, crear combinaciones con elementos de formato semántico y servir como contenedor para elementos multimedia pequeños como iconos o imágenes inline. </v>
      </c>
      <c r="C146" s="38" t="s">
        <v>2</v>
      </c>
      <c r="D146" s="38"/>
      <c r="E146" s="61" t="str">
        <f t="shared" si="50"/>
        <v>&lt;/p&gt;</v>
      </c>
      <c r="F146" s="62" t="s">
        <v>250</v>
      </c>
      <c r="G146" s="63" t="str">
        <f t="shared" si="51"/>
        <v>&lt;p&gt;El elemento &lt;span&gt; se clasifica como un elemento especial dentro de la especificación HTML, lo que significa que puede contener tanto texto como otros elementos en línea, proporcionando flexibilidad para crear estructuras de contenido complejas. Su versatilidad se extiende a la capacidad de anidar otros elementos span, crear combinaciones con elementos de formato semántico y servir como contenedor para elementos multimedia pequeños como iconos o imágenes inline.&lt;/p&gt;</v>
      </c>
      <c r="H146" s="44"/>
      <c r="Q146" s="46"/>
      <c r="R146" s="44"/>
    </row>
    <row r="147" s="36" customFormat="1" spans="1:18">
      <c r="A147" s="37" t="str">
        <f t="shared" si="48"/>
        <v/>
      </c>
      <c r="B147" s="38" t="str">
        <f t="shared" si="49"/>
        <v/>
      </c>
      <c r="C147" s="38" t="s">
        <v>2</v>
      </c>
      <c r="D147" s="38"/>
      <c r="E147" s="61" t="str">
        <f t="shared" si="50"/>
        <v/>
      </c>
      <c r="F147" s="62"/>
      <c r="G147" s="63" t="str">
        <f t="shared" si="51"/>
        <v/>
      </c>
      <c r="H147" s="44"/>
      <c r="Q147" s="46"/>
      <c r="R147" s="44"/>
    </row>
    <row r="148" s="36" customFormat="1" spans="1:18">
      <c r="A148" s="37" t="str">
        <f t="shared" si="48"/>
        <v/>
      </c>
      <c r="B148" s="38" t="str">
        <f t="shared" si="49"/>
        <v/>
      </c>
      <c r="C148" s="38" t="s">
        <v>2</v>
      </c>
      <c r="D148" s="38"/>
      <c r="E148" s="61" t="str">
        <f t="shared" si="50"/>
        <v/>
      </c>
      <c r="F148" s="62"/>
      <c r="G148" s="63" t="str">
        <f t="shared" si="51"/>
        <v/>
      </c>
      <c r="H148" s="44"/>
      <c r="Q148" s="46"/>
      <c r="R148" s="44"/>
    </row>
    <row r="149" s="36" customFormat="1" spans="1:18">
      <c r="A149" s="37" t="str">
        <f t="shared" si="48"/>
        <v/>
      </c>
      <c r="B149" s="38" t="str">
        <f t="shared" si="49"/>
        <v/>
      </c>
      <c r="C149" s="38" t="s">
        <v>2</v>
      </c>
      <c r="D149" s="38"/>
      <c r="E149" s="61" t="str">
        <f t="shared" si="50"/>
        <v/>
      </c>
      <c r="F149" s="62"/>
      <c r="G149" s="63" t="str">
        <f t="shared" si="51"/>
        <v/>
      </c>
      <c r="H149" s="44"/>
      <c r="Q149" s="46"/>
      <c r="R149" s="44"/>
    </row>
    <row r="150" s="36" customFormat="1" spans="1:18">
      <c r="A150" s="37" t="str">
        <f t="shared" si="48"/>
        <v/>
      </c>
      <c r="B150" s="38" t="str">
        <f t="shared" si="49"/>
        <v/>
      </c>
      <c r="C150" s="38" t="s">
        <v>2</v>
      </c>
      <c r="D150" s="38"/>
      <c r="E150" s="61" t="str">
        <f t="shared" si="50"/>
        <v/>
      </c>
      <c r="F150" s="62"/>
      <c r="G150" s="63" t="str">
        <f t="shared" si="51"/>
        <v/>
      </c>
      <c r="H150" s="44"/>
      <c r="Q150" s="46"/>
      <c r="R150" s="44"/>
    </row>
    <row r="151" s="36" customFormat="1" spans="1:18">
      <c r="A151" s="37" t="str">
        <f t="shared" si="48"/>
        <v/>
      </c>
      <c r="B151" s="38" t="str">
        <f t="shared" si="49"/>
        <v/>
      </c>
      <c r="C151" s="38" t="s">
        <v>2</v>
      </c>
      <c r="D151" s="38"/>
      <c r="E151" s="61" t="str">
        <f t="shared" si="50"/>
        <v/>
      </c>
      <c r="F151" s="62"/>
      <c r="G151" s="63" t="str">
        <f t="shared" si="51"/>
        <v/>
      </c>
      <c r="H151" s="44"/>
      <c r="Q151" s="46"/>
      <c r="R151" s="44"/>
    </row>
    <row r="152" s="36" customFormat="1" spans="1:18">
      <c r="A152" s="37" t="str">
        <f t="shared" si="48"/>
        <v/>
      </c>
      <c r="B152" s="38" t="str">
        <f t="shared" si="49"/>
        <v/>
      </c>
      <c r="C152" s="38" t="s">
        <v>2</v>
      </c>
      <c r="D152" s="38"/>
      <c r="E152" s="61" t="str">
        <f t="shared" si="50"/>
        <v/>
      </c>
      <c r="F152" s="62"/>
      <c r="G152" s="63" t="str">
        <f t="shared" si="51"/>
        <v/>
      </c>
      <c r="H152" s="44"/>
      <c r="Q152" s="46"/>
      <c r="R152" s="44"/>
    </row>
    <row r="153" s="36" customFormat="1" spans="1:18">
      <c r="A153" s="37" t="str">
        <f t="shared" si="48"/>
        <v/>
      </c>
      <c r="B153" s="38" t="str">
        <f t="shared" si="49"/>
        <v/>
      </c>
      <c r="C153" s="38" t="s">
        <v>2</v>
      </c>
      <c r="D153" s="38"/>
      <c r="E153" s="61" t="str">
        <f t="shared" si="50"/>
        <v/>
      </c>
      <c r="F153" s="62"/>
      <c r="G153" s="63" t="str">
        <f t="shared" si="51"/>
        <v/>
      </c>
      <c r="H153" s="44"/>
      <c r="Q153" s="46"/>
      <c r="R153" s="44"/>
    </row>
    <row r="154" s="36" customFormat="1" spans="1:18">
      <c r="A154" s="37" t="str">
        <f t="shared" si="48"/>
        <v/>
      </c>
      <c r="B154" s="38" t="str">
        <f t="shared" si="49"/>
        <v/>
      </c>
      <c r="C154" s="38" t="s">
        <v>33</v>
      </c>
      <c r="D154" s="38"/>
      <c r="E154" s="61" t="str">
        <f t="shared" si="50"/>
        <v/>
      </c>
      <c r="F154" s="62"/>
      <c r="G154" s="63" t="str">
        <f t="shared" si="51"/>
        <v/>
      </c>
      <c r="H154" s="44"/>
      <c r="Q154" s="46"/>
      <c r="R154" s="44"/>
    </row>
    <row r="155" s="36" customFormat="1" ht="14.55" spans="1:18">
      <c r="A155" s="51" t="str">
        <f t="shared" si="48"/>
        <v/>
      </c>
      <c r="B155" s="47" t="str">
        <f t="shared" si="49"/>
        <v/>
      </c>
      <c r="C155" s="47" t="s">
        <v>2</v>
      </c>
      <c r="D155" s="47"/>
      <c r="E155" s="64" t="str">
        <f t="shared" si="50"/>
        <v/>
      </c>
      <c r="F155" s="65"/>
      <c r="G155" s="66" t="str">
        <f t="shared" si="51"/>
        <v/>
      </c>
      <c r="H155" s="44"/>
      <c r="Q155" s="46"/>
      <c r="R155" s="44"/>
    </row>
    <row r="156" customFormat="1" spans="10:10">
      <c r="J156" s="36"/>
    </row>
  </sheetData>
  <conditionalFormatting sqref="F3">
    <cfRule type="duplicateValues" dxfId="0" priority="1"/>
  </conditionalFormatting>
  <conditionalFormatting sqref="G22:H22">
    <cfRule type="duplicateValues" dxfId="0" priority="4805"/>
  </conditionalFormatting>
  <conditionalFormatting sqref="Q41">
    <cfRule type="duplicateValues" dxfId="0" priority="4817"/>
  </conditionalFormatting>
  <conditionalFormatting sqref="Q42">
    <cfRule type="duplicateValues" dxfId="0" priority="4841"/>
  </conditionalFormatting>
  <conditionalFormatting sqref="G43:H43">
    <cfRule type="duplicateValues" dxfId="0" priority="4806"/>
  </conditionalFormatting>
  <conditionalFormatting sqref="Q62">
    <cfRule type="duplicateValues" dxfId="0" priority="4834"/>
  </conditionalFormatting>
  <conditionalFormatting sqref="F63">
    <cfRule type="duplicateValues" dxfId="0" priority="4810"/>
  </conditionalFormatting>
  <conditionalFormatting sqref="Q63">
    <cfRule type="duplicateValues" dxfId="0" priority="4832"/>
  </conditionalFormatting>
  <conditionalFormatting sqref="G88:H88">
    <cfRule type="duplicateValues" dxfId="0" priority="4787"/>
  </conditionalFormatting>
  <conditionalFormatting sqref="Q88">
    <cfRule type="duplicateValues" dxfId="0" priority="4797"/>
  </conditionalFormatting>
  <conditionalFormatting sqref="F89">
    <cfRule type="duplicateValues" dxfId="0" priority="31"/>
  </conditionalFormatting>
  <conditionalFormatting sqref="Q90">
    <cfRule type="duplicateValues" dxfId="0" priority="97"/>
  </conditionalFormatting>
  <conditionalFormatting sqref="Q92">
    <cfRule type="duplicateValues" dxfId="0" priority="64"/>
  </conditionalFormatting>
  <conditionalFormatting sqref="Q93">
    <cfRule type="duplicateValues" dxfId="0" priority="63"/>
  </conditionalFormatting>
  <conditionalFormatting sqref="Q94">
    <cfRule type="duplicateValues" dxfId="0" priority="62"/>
  </conditionalFormatting>
  <conditionalFormatting sqref="Q95">
    <cfRule type="duplicateValues" dxfId="0" priority="61"/>
  </conditionalFormatting>
  <conditionalFormatting sqref="Q96">
    <cfRule type="duplicateValues" dxfId="0" priority="60"/>
  </conditionalFormatting>
  <conditionalFormatting sqref="F99">
    <cfRule type="duplicateValues" dxfId="0" priority="35"/>
  </conditionalFormatting>
  <conditionalFormatting sqref="F100">
    <cfRule type="duplicateValues" dxfId="0" priority="34"/>
  </conditionalFormatting>
  <conditionalFormatting sqref="N101">
    <cfRule type="duplicateValues" dxfId="0" priority="4776"/>
  </conditionalFormatting>
  <conditionalFormatting sqref="U101">
    <cfRule type="duplicateValues" dxfId="0" priority="4775"/>
  </conditionalFormatting>
  <conditionalFormatting sqref="AB101">
    <cfRule type="duplicateValues" dxfId="0" priority="4774"/>
  </conditionalFormatting>
  <conditionalFormatting sqref="AI101">
    <cfRule type="duplicateValues" dxfId="0" priority="4773"/>
  </conditionalFormatting>
  <conditionalFormatting sqref="AP101">
    <cfRule type="duplicateValues" dxfId="0" priority="4772"/>
  </conditionalFormatting>
  <conditionalFormatting sqref="AW101">
    <cfRule type="duplicateValues" dxfId="0" priority="4771"/>
  </conditionalFormatting>
  <conditionalFormatting sqref="BD101">
    <cfRule type="duplicateValues" dxfId="0" priority="4770"/>
  </conditionalFormatting>
  <conditionalFormatting sqref="BK101">
    <cfRule type="duplicateValues" dxfId="0" priority="4769"/>
  </conditionalFormatting>
  <conditionalFormatting sqref="BR101">
    <cfRule type="duplicateValues" dxfId="0" priority="4768"/>
  </conditionalFormatting>
  <conditionalFormatting sqref="BY101">
    <cfRule type="duplicateValues" dxfId="0" priority="4767"/>
  </conditionalFormatting>
  <conditionalFormatting sqref="CF101">
    <cfRule type="duplicateValues" dxfId="0" priority="4766"/>
  </conditionalFormatting>
  <conditionalFormatting sqref="CM101">
    <cfRule type="duplicateValues" dxfId="0" priority="4765"/>
  </conditionalFormatting>
  <conditionalFormatting sqref="CT101">
    <cfRule type="duplicateValues" dxfId="0" priority="4764"/>
  </conditionalFormatting>
  <conditionalFormatting sqref="DA101">
    <cfRule type="duplicateValues" dxfId="0" priority="4763"/>
  </conditionalFormatting>
  <conditionalFormatting sqref="DH101">
    <cfRule type="duplicateValues" dxfId="0" priority="4762"/>
  </conditionalFormatting>
  <conditionalFormatting sqref="DO101">
    <cfRule type="duplicateValues" dxfId="0" priority="4761"/>
  </conditionalFormatting>
  <conditionalFormatting sqref="DV101">
    <cfRule type="duplicateValues" dxfId="0" priority="4760"/>
  </conditionalFormatting>
  <conditionalFormatting sqref="EC101">
    <cfRule type="duplicateValues" dxfId="0" priority="4759"/>
  </conditionalFormatting>
  <conditionalFormatting sqref="EJ101">
    <cfRule type="duplicateValues" dxfId="0" priority="4758"/>
  </conditionalFormatting>
  <conditionalFormatting sqref="EQ101">
    <cfRule type="duplicateValues" dxfId="0" priority="4757"/>
  </conditionalFormatting>
  <conditionalFormatting sqref="EX101">
    <cfRule type="duplicateValues" dxfId="0" priority="4756"/>
  </conditionalFormatting>
  <conditionalFormatting sqref="FE101">
    <cfRule type="duplicateValues" dxfId="0" priority="4755"/>
  </conditionalFormatting>
  <conditionalFormatting sqref="FL101">
    <cfRule type="duplicateValues" dxfId="0" priority="4754"/>
  </conditionalFormatting>
  <conditionalFormatting sqref="FS101">
    <cfRule type="duplicateValues" dxfId="0" priority="4753"/>
  </conditionalFormatting>
  <conditionalFormatting sqref="FZ101">
    <cfRule type="duplicateValues" dxfId="0" priority="4752"/>
  </conditionalFormatting>
  <conditionalFormatting sqref="GG101">
    <cfRule type="duplicateValues" dxfId="0" priority="4751"/>
  </conditionalFormatting>
  <conditionalFormatting sqref="GN101">
    <cfRule type="duplicateValues" dxfId="0" priority="4750"/>
  </conditionalFormatting>
  <conditionalFormatting sqref="GU101">
    <cfRule type="duplicateValues" dxfId="0" priority="4749"/>
  </conditionalFormatting>
  <conditionalFormatting sqref="HB101">
    <cfRule type="duplicateValues" dxfId="0" priority="4748"/>
  </conditionalFormatting>
  <conditionalFormatting sqref="HI101">
    <cfRule type="duplicateValues" dxfId="0" priority="4747"/>
  </conditionalFormatting>
  <conditionalFormatting sqref="HP101">
    <cfRule type="duplicateValues" dxfId="0" priority="4746"/>
  </conditionalFormatting>
  <conditionalFormatting sqref="HW101">
    <cfRule type="duplicateValues" dxfId="0" priority="4745"/>
  </conditionalFormatting>
  <conditionalFormatting sqref="ID101">
    <cfRule type="duplicateValues" dxfId="0" priority="4744"/>
  </conditionalFormatting>
  <conditionalFormatting sqref="IK101">
    <cfRule type="duplicateValues" dxfId="0" priority="4743"/>
  </conditionalFormatting>
  <conditionalFormatting sqref="IR101">
    <cfRule type="duplicateValues" dxfId="0" priority="4742"/>
  </conditionalFormatting>
  <conditionalFormatting sqref="IY101">
    <cfRule type="duplicateValues" dxfId="0" priority="4741"/>
  </conditionalFormatting>
  <conditionalFormatting sqref="JF101">
    <cfRule type="duplicateValues" dxfId="0" priority="4740"/>
  </conditionalFormatting>
  <conditionalFormatting sqref="JM101">
    <cfRule type="duplicateValues" dxfId="0" priority="4739"/>
  </conditionalFormatting>
  <conditionalFormatting sqref="JT101">
    <cfRule type="duplicateValues" dxfId="0" priority="4738"/>
  </conditionalFormatting>
  <conditionalFormatting sqref="KA101">
    <cfRule type="duplicateValues" dxfId="0" priority="4737"/>
  </conditionalFormatting>
  <conditionalFormatting sqref="KH101">
    <cfRule type="duplicateValues" dxfId="0" priority="4736"/>
  </conditionalFormatting>
  <conditionalFormatting sqref="KO101">
    <cfRule type="duplicateValues" dxfId="0" priority="4735"/>
  </conditionalFormatting>
  <conditionalFormatting sqref="KV101">
    <cfRule type="duplicateValues" dxfId="0" priority="4734"/>
  </conditionalFormatting>
  <conditionalFormatting sqref="LC101">
    <cfRule type="duplicateValues" dxfId="0" priority="4733"/>
  </conditionalFormatting>
  <conditionalFormatting sqref="LJ101">
    <cfRule type="duplicateValues" dxfId="0" priority="4732"/>
  </conditionalFormatting>
  <conditionalFormatting sqref="LQ101">
    <cfRule type="duplicateValues" dxfId="0" priority="4731"/>
  </conditionalFormatting>
  <conditionalFormatting sqref="LX101">
    <cfRule type="duplicateValues" dxfId="0" priority="4730"/>
  </conditionalFormatting>
  <conditionalFormatting sqref="ME101">
    <cfRule type="duplicateValues" dxfId="0" priority="4729"/>
  </conditionalFormatting>
  <conditionalFormatting sqref="ML101">
    <cfRule type="duplicateValues" dxfId="0" priority="4728"/>
  </conditionalFormatting>
  <conditionalFormatting sqref="MS101">
    <cfRule type="duplicateValues" dxfId="0" priority="4727"/>
  </conditionalFormatting>
  <conditionalFormatting sqref="MZ101">
    <cfRule type="duplicateValues" dxfId="0" priority="4726"/>
  </conditionalFormatting>
  <conditionalFormatting sqref="NG101">
    <cfRule type="duplicateValues" dxfId="0" priority="4725"/>
  </conditionalFormatting>
  <conditionalFormatting sqref="NN101">
    <cfRule type="duplicateValues" dxfId="0" priority="4724"/>
  </conditionalFormatting>
  <conditionalFormatting sqref="NU101">
    <cfRule type="duplicateValues" dxfId="0" priority="4723"/>
  </conditionalFormatting>
  <conditionalFormatting sqref="OB101">
    <cfRule type="duplicateValues" dxfId="0" priority="4722"/>
  </conditionalFormatting>
  <conditionalFormatting sqref="OI101">
    <cfRule type="duplicateValues" dxfId="0" priority="4721"/>
  </conditionalFormatting>
  <conditionalFormatting sqref="OP101">
    <cfRule type="duplicateValues" dxfId="0" priority="4720"/>
  </conditionalFormatting>
  <conditionalFormatting sqref="OW101">
    <cfRule type="duplicateValues" dxfId="0" priority="4719"/>
  </conditionalFormatting>
  <conditionalFormatting sqref="PD101">
    <cfRule type="duplicateValues" dxfId="0" priority="4718"/>
  </conditionalFormatting>
  <conditionalFormatting sqref="PK101">
    <cfRule type="duplicateValues" dxfId="0" priority="4717"/>
  </conditionalFormatting>
  <conditionalFormatting sqref="PR101">
    <cfRule type="duplicateValues" dxfId="0" priority="4716"/>
  </conditionalFormatting>
  <conditionalFormatting sqref="PY101">
    <cfRule type="duplicateValues" dxfId="0" priority="4715"/>
  </conditionalFormatting>
  <conditionalFormatting sqref="QF101">
    <cfRule type="duplicateValues" dxfId="0" priority="4714"/>
  </conditionalFormatting>
  <conditionalFormatting sqref="QM101">
    <cfRule type="duplicateValues" dxfId="0" priority="4713"/>
  </conditionalFormatting>
  <conditionalFormatting sqref="QT101">
    <cfRule type="duplicateValues" dxfId="0" priority="4712"/>
  </conditionalFormatting>
  <conditionalFormatting sqref="RA101">
    <cfRule type="duplicateValues" dxfId="0" priority="4711"/>
  </conditionalFormatting>
  <conditionalFormatting sqref="RH101">
    <cfRule type="duplicateValues" dxfId="0" priority="4710"/>
  </conditionalFormatting>
  <conditionalFormatting sqref="RO101">
    <cfRule type="duplicateValues" dxfId="0" priority="4709"/>
  </conditionalFormatting>
  <conditionalFormatting sqref="RV101">
    <cfRule type="duplicateValues" dxfId="0" priority="4708"/>
  </conditionalFormatting>
  <conditionalFormatting sqref="SC101">
    <cfRule type="duplicateValues" dxfId="0" priority="4707"/>
  </conditionalFormatting>
  <conditionalFormatting sqref="SJ101">
    <cfRule type="duplicateValues" dxfId="0" priority="4706"/>
  </conditionalFormatting>
  <conditionalFormatting sqref="SQ101">
    <cfRule type="duplicateValues" dxfId="0" priority="4705"/>
  </conditionalFormatting>
  <conditionalFormatting sqref="SX101">
    <cfRule type="duplicateValues" dxfId="0" priority="4704"/>
  </conditionalFormatting>
  <conditionalFormatting sqref="TE101">
    <cfRule type="duplicateValues" dxfId="0" priority="4703"/>
  </conditionalFormatting>
  <conditionalFormatting sqref="TL101">
    <cfRule type="duplicateValues" dxfId="0" priority="4702"/>
  </conditionalFormatting>
  <conditionalFormatting sqref="TS101">
    <cfRule type="duplicateValues" dxfId="0" priority="4701"/>
  </conditionalFormatting>
  <conditionalFormatting sqref="TZ101">
    <cfRule type="duplicateValues" dxfId="0" priority="4700"/>
  </conditionalFormatting>
  <conditionalFormatting sqref="UG101">
    <cfRule type="duplicateValues" dxfId="0" priority="4699"/>
  </conditionalFormatting>
  <conditionalFormatting sqref="UN101">
    <cfRule type="duplicateValues" dxfId="0" priority="4698"/>
  </conditionalFormatting>
  <conditionalFormatting sqref="UU101">
    <cfRule type="duplicateValues" dxfId="0" priority="4697"/>
  </conditionalFormatting>
  <conditionalFormatting sqref="VB101">
    <cfRule type="duplicateValues" dxfId="0" priority="4696"/>
  </conditionalFormatting>
  <conditionalFormatting sqref="VI101">
    <cfRule type="duplicateValues" dxfId="0" priority="4695"/>
  </conditionalFormatting>
  <conditionalFormatting sqref="VP101">
    <cfRule type="duplicateValues" dxfId="0" priority="4694"/>
  </conditionalFormatting>
  <conditionalFormatting sqref="VW101">
    <cfRule type="duplicateValues" dxfId="0" priority="4693"/>
  </conditionalFormatting>
  <conditionalFormatting sqref="WD101">
    <cfRule type="duplicateValues" dxfId="0" priority="4692"/>
  </conditionalFormatting>
  <conditionalFormatting sqref="WK101">
    <cfRule type="duplicateValues" dxfId="0" priority="4691"/>
  </conditionalFormatting>
  <conditionalFormatting sqref="WR101">
    <cfRule type="duplicateValues" dxfId="0" priority="4690"/>
  </conditionalFormatting>
  <conditionalFormatting sqref="WY101">
    <cfRule type="duplicateValues" dxfId="0" priority="4689"/>
  </conditionalFormatting>
  <conditionalFormatting sqref="XF101">
    <cfRule type="duplicateValues" dxfId="0" priority="4688"/>
  </conditionalFormatting>
  <conditionalFormatting sqref="XM101">
    <cfRule type="duplicateValues" dxfId="0" priority="4687"/>
  </conditionalFormatting>
  <conditionalFormatting sqref="XT101">
    <cfRule type="duplicateValues" dxfId="0" priority="4686"/>
  </conditionalFormatting>
  <conditionalFormatting sqref="YA101">
    <cfRule type="duplicateValues" dxfId="0" priority="4685"/>
  </conditionalFormatting>
  <conditionalFormatting sqref="YH101">
    <cfRule type="duplicateValues" dxfId="0" priority="4684"/>
  </conditionalFormatting>
  <conditionalFormatting sqref="YO101">
    <cfRule type="duplicateValues" dxfId="0" priority="4683"/>
  </conditionalFormatting>
  <conditionalFormatting sqref="YV101">
    <cfRule type="duplicateValues" dxfId="0" priority="4682"/>
  </conditionalFormatting>
  <conditionalFormatting sqref="ZC101">
    <cfRule type="duplicateValues" dxfId="0" priority="4681"/>
  </conditionalFormatting>
  <conditionalFormatting sqref="ZJ101">
    <cfRule type="duplicateValues" dxfId="0" priority="4680"/>
  </conditionalFormatting>
  <conditionalFormatting sqref="ZQ101">
    <cfRule type="duplicateValues" dxfId="0" priority="4679"/>
  </conditionalFormatting>
  <conditionalFormatting sqref="ZX101">
    <cfRule type="duplicateValues" dxfId="0" priority="4678"/>
  </conditionalFormatting>
  <conditionalFormatting sqref="AAE101">
    <cfRule type="duplicateValues" dxfId="0" priority="4677"/>
  </conditionalFormatting>
  <conditionalFormatting sqref="AAL101">
    <cfRule type="duplicateValues" dxfId="0" priority="4676"/>
  </conditionalFormatting>
  <conditionalFormatting sqref="AAS101">
    <cfRule type="duplicateValues" dxfId="0" priority="4675"/>
  </conditionalFormatting>
  <conditionalFormatting sqref="AAZ101">
    <cfRule type="duplicateValues" dxfId="0" priority="4674"/>
  </conditionalFormatting>
  <conditionalFormatting sqref="ABG101">
    <cfRule type="duplicateValues" dxfId="0" priority="4673"/>
  </conditionalFormatting>
  <conditionalFormatting sqref="ABN101">
    <cfRule type="duplicateValues" dxfId="0" priority="4672"/>
  </conditionalFormatting>
  <conditionalFormatting sqref="ABU101">
    <cfRule type="duplicateValues" dxfId="0" priority="4671"/>
  </conditionalFormatting>
  <conditionalFormatting sqref="ACB101">
    <cfRule type="duplicateValues" dxfId="0" priority="4670"/>
  </conditionalFormatting>
  <conditionalFormatting sqref="ACI101">
    <cfRule type="duplicateValues" dxfId="0" priority="4669"/>
  </conditionalFormatting>
  <conditionalFormatting sqref="ACP101">
    <cfRule type="duplicateValues" dxfId="0" priority="4668"/>
  </conditionalFormatting>
  <conditionalFormatting sqref="ACW101">
    <cfRule type="duplicateValues" dxfId="0" priority="4667"/>
  </conditionalFormatting>
  <conditionalFormatting sqref="ADD101">
    <cfRule type="duplicateValues" dxfId="0" priority="4666"/>
  </conditionalFormatting>
  <conditionalFormatting sqref="ADK101">
    <cfRule type="duplicateValues" dxfId="0" priority="4665"/>
  </conditionalFormatting>
  <conditionalFormatting sqref="ADR101">
    <cfRule type="duplicateValues" dxfId="0" priority="4664"/>
  </conditionalFormatting>
  <conditionalFormatting sqref="ADY101">
    <cfRule type="duplicateValues" dxfId="0" priority="4663"/>
  </conditionalFormatting>
  <conditionalFormatting sqref="AEF101">
    <cfRule type="duplicateValues" dxfId="0" priority="4662"/>
  </conditionalFormatting>
  <conditionalFormatting sqref="AEM101">
    <cfRule type="duplicateValues" dxfId="0" priority="4661"/>
  </conditionalFormatting>
  <conditionalFormatting sqref="AET101">
    <cfRule type="duplicateValues" dxfId="0" priority="4660"/>
  </conditionalFormatting>
  <conditionalFormatting sqref="AFA101">
    <cfRule type="duplicateValues" dxfId="0" priority="4659"/>
  </conditionalFormatting>
  <conditionalFormatting sqref="AFH101">
    <cfRule type="duplicateValues" dxfId="0" priority="4658"/>
  </conditionalFormatting>
  <conditionalFormatting sqref="AFO101">
    <cfRule type="duplicateValues" dxfId="0" priority="4657"/>
  </conditionalFormatting>
  <conditionalFormatting sqref="AFV101">
    <cfRule type="duplicateValues" dxfId="0" priority="4656"/>
  </conditionalFormatting>
  <conditionalFormatting sqref="AGC101">
    <cfRule type="duplicateValues" dxfId="0" priority="4655"/>
  </conditionalFormatting>
  <conditionalFormatting sqref="AGJ101">
    <cfRule type="duplicateValues" dxfId="0" priority="4654"/>
  </conditionalFormatting>
  <conditionalFormatting sqref="AGQ101">
    <cfRule type="duplicateValues" dxfId="0" priority="4653"/>
  </conditionalFormatting>
  <conditionalFormatting sqref="AGX101">
    <cfRule type="duplicateValues" dxfId="0" priority="4652"/>
  </conditionalFormatting>
  <conditionalFormatting sqref="AHE101">
    <cfRule type="duplicateValues" dxfId="0" priority="4651"/>
  </conditionalFormatting>
  <conditionalFormatting sqref="AHL101">
    <cfRule type="duplicateValues" dxfId="0" priority="4650"/>
  </conditionalFormatting>
  <conditionalFormatting sqref="AHS101">
    <cfRule type="duplicateValues" dxfId="0" priority="4649"/>
  </conditionalFormatting>
  <conditionalFormatting sqref="AHZ101">
    <cfRule type="duplicateValues" dxfId="0" priority="4648"/>
  </conditionalFormatting>
  <conditionalFormatting sqref="AIG101">
    <cfRule type="duplicateValues" dxfId="0" priority="4647"/>
  </conditionalFormatting>
  <conditionalFormatting sqref="AIN101">
    <cfRule type="duplicateValues" dxfId="0" priority="4646"/>
  </conditionalFormatting>
  <conditionalFormatting sqref="AIU101">
    <cfRule type="duplicateValues" dxfId="0" priority="4645"/>
  </conditionalFormatting>
  <conditionalFormatting sqref="AJB101">
    <cfRule type="duplicateValues" dxfId="0" priority="4644"/>
  </conditionalFormatting>
  <conditionalFormatting sqref="AJI101">
    <cfRule type="duplicateValues" dxfId="0" priority="4643"/>
  </conditionalFormatting>
  <conditionalFormatting sqref="AJP101">
    <cfRule type="duplicateValues" dxfId="0" priority="4642"/>
  </conditionalFormatting>
  <conditionalFormatting sqref="AJW101">
    <cfRule type="duplicateValues" dxfId="0" priority="4641"/>
  </conditionalFormatting>
  <conditionalFormatting sqref="AKD101">
    <cfRule type="duplicateValues" dxfId="0" priority="4640"/>
  </conditionalFormatting>
  <conditionalFormatting sqref="AKK101">
    <cfRule type="duplicateValues" dxfId="0" priority="4639"/>
  </conditionalFormatting>
  <conditionalFormatting sqref="AKR101">
    <cfRule type="duplicateValues" dxfId="0" priority="4638"/>
  </conditionalFormatting>
  <conditionalFormatting sqref="AKY101">
    <cfRule type="duplicateValues" dxfId="0" priority="4637"/>
  </conditionalFormatting>
  <conditionalFormatting sqref="ALF101">
    <cfRule type="duplicateValues" dxfId="0" priority="4636"/>
  </conditionalFormatting>
  <conditionalFormatting sqref="ALM101">
    <cfRule type="duplicateValues" dxfId="0" priority="4635"/>
  </conditionalFormatting>
  <conditionalFormatting sqref="ALT101">
    <cfRule type="duplicateValues" dxfId="0" priority="4634"/>
  </conditionalFormatting>
  <conditionalFormatting sqref="AMA101">
    <cfRule type="duplicateValues" dxfId="0" priority="4633"/>
  </conditionalFormatting>
  <conditionalFormatting sqref="AMH101">
    <cfRule type="duplicateValues" dxfId="0" priority="4632"/>
  </conditionalFormatting>
  <conditionalFormatting sqref="AMO101">
    <cfRule type="duplicateValues" dxfId="0" priority="4631"/>
  </conditionalFormatting>
  <conditionalFormatting sqref="AMV101">
    <cfRule type="duplicateValues" dxfId="0" priority="4630"/>
  </conditionalFormatting>
  <conditionalFormatting sqref="ANC101">
    <cfRule type="duplicateValues" dxfId="0" priority="4629"/>
  </conditionalFormatting>
  <conditionalFormatting sqref="ANJ101">
    <cfRule type="duplicateValues" dxfId="0" priority="4628"/>
  </conditionalFormatting>
  <conditionalFormatting sqref="ANQ101">
    <cfRule type="duplicateValues" dxfId="0" priority="4627"/>
  </conditionalFormatting>
  <conditionalFormatting sqref="ANX101">
    <cfRule type="duplicateValues" dxfId="0" priority="4626"/>
  </conditionalFormatting>
  <conditionalFormatting sqref="AOE101">
    <cfRule type="duplicateValues" dxfId="0" priority="4625"/>
  </conditionalFormatting>
  <conditionalFormatting sqref="AOL101">
    <cfRule type="duplicateValues" dxfId="0" priority="4624"/>
  </conditionalFormatting>
  <conditionalFormatting sqref="AOS101">
    <cfRule type="duplicateValues" dxfId="0" priority="4623"/>
  </conditionalFormatting>
  <conditionalFormatting sqref="AOZ101">
    <cfRule type="duplicateValues" dxfId="0" priority="4622"/>
  </conditionalFormatting>
  <conditionalFormatting sqref="APG101">
    <cfRule type="duplicateValues" dxfId="0" priority="4621"/>
  </conditionalFormatting>
  <conditionalFormatting sqref="APN101">
    <cfRule type="duplicateValues" dxfId="0" priority="4620"/>
  </conditionalFormatting>
  <conditionalFormatting sqref="APU101">
    <cfRule type="duplicateValues" dxfId="0" priority="4619"/>
  </conditionalFormatting>
  <conditionalFormatting sqref="AQB101">
    <cfRule type="duplicateValues" dxfId="0" priority="4618"/>
  </conditionalFormatting>
  <conditionalFormatting sqref="AQI101">
    <cfRule type="duplicateValues" dxfId="0" priority="4617"/>
  </conditionalFormatting>
  <conditionalFormatting sqref="AQP101">
    <cfRule type="duplicateValues" dxfId="0" priority="4616"/>
  </conditionalFormatting>
  <conditionalFormatting sqref="AQW101">
    <cfRule type="duplicateValues" dxfId="0" priority="4615"/>
  </conditionalFormatting>
  <conditionalFormatting sqref="ARD101">
    <cfRule type="duplicateValues" dxfId="0" priority="4614"/>
  </conditionalFormatting>
  <conditionalFormatting sqref="ARK101">
    <cfRule type="duplicateValues" dxfId="0" priority="4613"/>
  </conditionalFormatting>
  <conditionalFormatting sqref="ARR101">
    <cfRule type="duplicateValues" dxfId="0" priority="4612"/>
  </conditionalFormatting>
  <conditionalFormatting sqref="ARY101">
    <cfRule type="duplicateValues" dxfId="0" priority="4611"/>
  </conditionalFormatting>
  <conditionalFormatting sqref="ASF101">
    <cfRule type="duplicateValues" dxfId="0" priority="4610"/>
  </conditionalFormatting>
  <conditionalFormatting sqref="ASM101">
    <cfRule type="duplicateValues" dxfId="0" priority="4609"/>
  </conditionalFormatting>
  <conditionalFormatting sqref="AST101">
    <cfRule type="duplicateValues" dxfId="0" priority="4608"/>
  </conditionalFormatting>
  <conditionalFormatting sqref="ATA101">
    <cfRule type="duplicateValues" dxfId="0" priority="4607"/>
  </conditionalFormatting>
  <conditionalFormatting sqref="ATH101">
    <cfRule type="duplicateValues" dxfId="0" priority="4606"/>
  </conditionalFormatting>
  <conditionalFormatting sqref="ATO101">
    <cfRule type="duplicateValues" dxfId="0" priority="4605"/>
  </conditionalFormatting>
  <conditionalFormatting sqref="ATV101">
    <cfRule type="duplicateValues" dxfId="0" priority="4604"/>
  </conditionalFormatting>
  <conditionalFormatting sqref="AUC101">
    <cfRule type="duplicateValues" dxfId="0" priority="4603"/>
  </conditionalFormatting>
  <conditionalFormatting sqref="AUJ101">
    <cfRule type="duplicateValues" dxfId="0" priority="4602"/>
  </conditionalFormatting>
  <conditionalFormatting sqref="AUQ101">
    <cfRule type="duplicateValues" dxfId="0" priority="4601"/>
  </conditionalFormatting>
  <conditionalFormatting sqref="AUX101">
    <cfRule type="duplicateValues" dxfId="0" priority="4600"/>
  </conditionalFormatting>
  <conditionalFormatting sqref="AVE101">
    <cfRule type="duplicateValues" dxfId="0" priority="4599"/>
  </conditionalFormatting>
  <conditionalFormatting sqref="AVL101">
    <cfRule type="duplicateValues" dxfId="0" priority="4598"/>
  </conditionalFormatting>
  <conditionalFormatting sqref="AVS101">
    <cfRule type="duplicateValues" dxfId="0" priority="4597"/>
  </conditionalFormatting>
  <conditionalFormatting sqref="AVZ101">
    <cfRule type="duplicateValues" dxfId="0" priority="4596"/>
  </conditionalFormatting>
  <conditionalFormatting sqref="AWG101">
    <cfRule type="duplicateValues" dxfId="0" priority="4595"/>
  </conditionalFormatting>
  <conditionalFormatting sqref="AWN101">
    <cfRule type="duplicateValues" dxfId="0" priority="4594"/>
  </conditionalFormatting>
  <conditionalFormatting sqref="AWU101">
    <cfRule type="duplicateValues" dxfId="0" priority="4593"/>
  </conditionalFormatting>
  <conditionalFormatting sqref="AXB101">
    <cfRule type="duplicateValues" dxfId="0" priority="4592"/>
  </conditionalFormatting>
  <conditionalFormatting sqref="AXI101">
    <cfRule type="duplicateValues" dxfId="0" priority="4591"/>
  </conditionalFormatting>
  <conditionalFormatting sqref="AXP101">
    <cfRule type="duplicateValues" dxfId="0" priority="4590"/>
  </conditionalFormatting>
  <conditionalFormatting sqref="AXW101">
    <cfRule type="duplicateValues" dxfId="0" priority="4589"/>
  </conditionalFormatting>
  <conditionalFormatting sqref="AYD101">
    <cfRule type="duplicateValues" dxfId="0" priority="4588"/>
  </conditionalFormatting>
  <conditionalFormatting sqref="AYK101">
    <cfRule type="duplicateValues" dxfId="0" priority="4587"/>
  </conditionalFormatting>
  <conditionalFormatting sqref="AYR101">
    <cfRule type="duplicateValues" dxfId="0" priority="4586"/>
  </conditionalFormatting>
  <conditionalFormatting sqref="AYY101">
    <cfRule type="duplicateValues" dxfId="0" priority="4585"/>
  </conditionalFormatting>
  <conditionalFormatting sqref="AZF101">
    <cfRule type="duplicateValues" dxfId="0" priority="4584"/>
  </conditionalFormatting>
  <conditionalFormatting sqref="AZM101">
    <cfRule type="duplicateValues" dxfId="0" priority="4583"/>
  </conditionalFormatting>
  <conditionalFormatting sqref="AZT101">
    <cfRule type="duplicateValues" dxfId="0" priority="4582"/>
  </conditionalFormatting>
  <conditionalFormatting sqref="BAA101">
    <cfRule type="duplicateValues" dxfId="0" priority="4581"/>
  </conditionalFormatting>
  <conditionalFormatting sqref="BAH101">
    <cfRule type="duplicateValues" dxfId="0" priority="4580"/>
  </conditionalFormatting>
  <conditionalFormatting sqref="BAO101">
    <cfRule type="duplicateValues" dxfId="0" priority="4579"/>
  </conditionalFormatting>
  <conditionalFormatting sqref="BAV101">
    <cfRule type="duplicateValues" dxfId="0" priority="4578"/>
  </conditionalFormatting>
  <conditionalFormatting sqref="BBC101">
    <cfRule type="duplicateValues" dxfId="0" priority="4577"/>
  </conditionalFormatting>
  <conditionalFormatting sqref="BBJ101">
    <cfRule type="duplicateValues" dxfId="0" priority="4576"/>
  </conditionalFormatting>
  <conditionalFormatting sqref="BBQ101">
    <cfRule type="duplicateValues" dxfId="0" priority="4575"/>
  </conditionalFormatting>
  <conditionalFormatting sqref="BBX101">
    <cfRule type="duplicateValues" dxfId="0" priority="4574"/>
  </conditionalFormatting>
  <conditionalFormatting sqref="BCE101">
    <cfRule type="duplicateValues" dxfId="0" priority="4573"/>
  </conditionalFormatting>
  <conditionalFormatting sqref="BCL101">
    <cfRule type="duplicateValues" dxfId="0" priority="4572"/>
  </conditionalFormatting>
  <conditionalFormatting sqref="BCS101">
    <cfRule type="duplicateValues" dxfId="0" priority="4571"/>
  </conditionalFormatting>
  <conditionalFormatting sqref="BCZ101">
    <cfRule type="duplicateValues" dxfId="0" priority="4570"/>
  </conditionalFormatting>
  <conditionalFormatting sqref="BDG101">
    <cfRule type="duplicateValues" dxfId="0" priority="4569"/>
  </conditionalFormatting>
  <conditionalFormatting sqref="BDN101">
    <cfRule type="duplicateValues" dxfId="0" priority="4568"/>
  </conditionalFormatting>
  <conditionalFormatting sqref="BDU101">
    <cfRule type="duplicateValues" dxfId="0" priority="4567"/>
  </conditionalFormatting>
  <conditionalFormatting sqref="BEB101">
    <cfRule type="duplicateValues" dxfId="0" priority="4566"/>
  </conditionalFormatting>
  <conditionalFormatting sqref="BEI101">
    <cfRule type="duplicateValues" dxfId="0" priority="4565"/>
  </conditionalFormatting>
  <conditionalFormatting sqref="BEP101">
    <cfRule type="duplicateValues" dxfId="0" priority="4564"/>
  </conditionalFormatting>
  <conditionalFormatting sqref="BEW101">
    <cfRule type="duplicateValues" dxfId="0" priority="4563"/>
  </conditionalFormatting>
  <conditionalFormatting sqref="BFD101">
    <cfRule type="duplicateValues" dxfId="0" priority="4562"/>
  </conditionalFormatting>
  <conditionalFormatting sqref="BFK101">
    <cfRule type="duplicateValues" dxfId="0" priority="4561"/>
  </conditionalFormatting>
  <conditionalFormatting sqref="BFR101">
    <cfRule type="duplicateValues" dxfId="0" priority="4560"/>
  </conditionalFormatting>
  <conditionalFormatting sqref="BFY101">
    <cfRule type="duplicateValues" dxfId="0" priority="4559"/>
  </conditionalFormatting>
  <conditionalFormatting sqref="BGF101">
    <cfRule type="duplicateValues" dxfId="0" priority="4558"/>
  </conditionalFormatting>
  <conditionalFormatting sqref="BGM101">
    <cfRule type="duplicateValues" dxfId="0" priority="4557"/>
  </conditionalFormatting>
  <conditionalFormatting sqref="BGT101">
    <cfRule type="duplicateValues" dxfId="0" priority="4556"/>
  </conditionalFormatting>
  <conditionalFormatting sqref="BHA101">
    <cfRule type="duplicateValues" dxfId="0" priority="4555"/>
  </conditionalFormatting>
  <conditionalFormatting sqref="BHH101">
    <cfRule type="duplicateValues" dxfId="0" priority="4554"/>
  </conditionalFormatting>
  <conditionalFormatting sqref="BHO101">
    <cfRule type="duplicateValues" dxfId="0" priority="4553"/>
  </conditionalFormatting>
  <conditionalFormatting sqref="BHV101">
    <cfRule type="duplicateValues" dxfId="0" priority="4552"/>
  </conditionalFormatting>
  <conditionalFormatting sqref="BIC101">
    <cfRule type="duplicateValues" dxfId="0" priority="4551"/>
  </conditionalFormatting>
  <conditionalFormatting sqref="BIJ101">
    <cfRule type="duplicateValues" dxfId="0" priority="4550"/>
  </conditionalFormatting>
  <conditionalFormatting sqref="BIQ101">
    <cfRule type="duplicateValues" dxfId="0" priority="4549"/>
  </conditionalFormatting>
  <conditionalFormatting sqref="BIX101">
    <cfRule type="duplicateValues" dxfId="0" priority="4548"/>
  </conditionalFormatting>
  <conditionalFormatting sqref="BJE101">
    <cfRule type="duplicateValues" dxfId="0" priority="4547"/>
  </conditionalFormatting>
  <conditionalFormatting sqref="BJL101">
    <cfRule type="duplicateValues" dxfId="0" priority="4546"/>
  </conditionalFormatting>
  <conditionalFormatting sqref="BJS101">
    <cfRule type="duplicateValues" dxfId="0" priority="4545"/>
  </conditionalFormatting>
  <conditionalFormatting sqref="BJZ101">
    <cfRule type="duplicateValues" dxfId="0" priority="4544"/>
  </conditionalFormatting>
  <conditionalFormatting sqref="BKG101">
    <cfRule type="duplicateValues" dxfId="0" priority="4543"/>
  </conditionalFormatting>
  <conditionalFormatting sqref="BKN101">
    <cfRule type="duplicateValues" dxfId="0" priority="4542"/>
  </conditionalFormatting>
  <conditionalFormatting sqref="BKU101">
    <cfRule type="duplicateValues" dxfId="0" priority="4541"/>
  </conditionalFormatting>
  <conditionalFormatting sqref="BLB101">
    <cfRule type="duplicateValues" dxfId="0" priority="4540"/>
  </conditionalFormatting>
  <conditionalFormatting sqref="BLI101">
    <cfRule type="duplicateValues" dxfId="0" priority="4539"/>
  </conditionalFormatting>
  <conditionalFormatting sqref="BLP101">
    <cfRule type="duplicateValues" dxfId="0" priority="4538"/>
  </conditionalFormatting>
  <conditionalFormatting sqref="BLW101">
    <cfRule type="duplicateValues" dxfId="0" priority="4537"/>
  </conditionalFormatting>
  <conditionalFormatting sqref="BMD101">
    <cfRule type="duplicateValues" dxfId="0" priority="4536"/>
  </conditionalFormatting>
  <conditionalFormatting sqref="BMK101">
    <cfRule type="duplicateValues" dxfId="0" priority="4535"/>
  </conditionalFormatting>
  <conditionalFormatting sqref="BMR101">
    <cfRule type="duplicateValues" dxfId="0" priority="4534"/>
  </conditionalFormatting>
  <conditionalFormatting sqref="BMY101">
    <cfRule type="duplicateValues" dxfId="0" priority="4533"/>
  </conditionalFormatting>
  <conditionalFormatting sqref="BNF101">
    <cfRule type="duplicateValues" dxfId="0" priority="4532"/>
  </conditionalFormatting>
  <conditionalFormatting sqref="BNM101">
    <cfRule type="duplicateValues" dxfId="0" priority="4531"/>
  </conditionalFormatting>
  <conditionalFormatting sqref="BNT101">
    <cfRule type="duplicateValues" dxfId="0" priority="4530"/>
  </conditionalFormatting>
  <conditionalFormatting sqref="BOA101">
    <cfRule type="duplicateValues" dxfId="0" priority="4529"/>
  </conditionalFormatting>
  <conditionalFormatting sqref="BOH101">
    <cfRule type="duplicateValues" dxfId="0" priority="4528"/>
  </conditionalFormatting>
  <conditionalFormatting sqref="BOO101">
    <cfRule type="duplicateValues" dxfId="0" priority="4527"/>
  </conditionalFormatting>
  <conditionalFormatting sqref="BOV101">
    <cfRule type="duplicateValues" dxfId="0" priority="4526"/>
  </conditionalFormatting>
  <conditionalFormatting sqref="BPC101">
    <cfRule type="duplicateValues" dxfId="0" priority="4525"/>
  </conditionalFormatting>
  <conditionalFormatting sqref="BPJ101">
    <cfRule type="duplicateValues" dxfId="0" priority="4524"/>
  </conditionalFormatting>
  <conditionalFormatting sqref="BPQ101">
    <cfRule type="duplicateValues" dxfId="0" priority="4523"/>
  </conditionalFormatting>
  <conditionalFormatting sqref="BPX101">
    <cfRule type="duplicateValues" dxfId="0" priority="4522"/>
  </conditionalFormatting>
  <conditionalFormatting sqref="BQE101">
    <cfRule type="duplicateValues" dxfId="0" priority="4521"/>
  </conditionalFormatting>
  <conditionalFormatting sqref="BQL101">
    <cfRule type="duplicateValues" dxfId="0" priority="4520"/>
  </conditionalFormatting>
  <conditionalFormatting sqref="BQS101">
    <cfRule type="duplicateValues" dxfId="0" priority="4519"/>
  </conditionalFormatting>
  <conditionalFormatting sqref="BQZ101">
    <cfRule type="duplicateValues" dxfId="0" priority="4518"/>
  </conditionalFormatting>
  <conditionalFormatting sqref="BRG101">
    <cfRule type="duplicateValues" dxfId="0" priority="4517"/>
  </conditionalFormatting>
  <conditionalFormatting sqref="BRN101">
    <cfRule type="duplicateValues" dxfId="0" priority="4516"/>
  </conditionalFormatting>
  <conditionalFormatting sqref="BRU101">
    <cfRule type="duplicateValues" dxfId="0" priority="4515"/>
  </conditionalFormatting>
  <conditionalFormatting sqref="BSB101">
    <cfRule type="duplicateValues" dxfId="0" priority="4514"/>
  </conditionalFormatting>
  <conditionalFormatting sqref="BSI101">
    <cfRule type="duplicateValues" dxfId="0" priority="4513"/>
  </conditionalFormatting>
  <conditionalFormatting sqref="BSP101">
    <cfRule type="duplicateValues" dxfId="0" priority="4512"/>
  </conditionalFormatting>
  <conditionalFormatting sqref="BSW101">
    <cfRule type="duplicateValues" dxfId="0" priority="4511"/>
  </conditionalFormatting>
  <conditionalFormatting sqref="BTD101">
    <cfRule type="duplicateValues" dxfId="0" priority="4510"/>
  </conditionalFormatting>
  <conditionalFormatting sqref="BTK101">
    <cfRule type="duplicateValues" dxfId="0" priority="4509"/>
  </conditionalFormatting>
  <conditionalFormatting sqref="BTR101">
    <cfRule type="duplicateValues" dxfId="0" priority="4508"/>
  </conditionalFormatting>
  <conditionalFormatting sqref="BTY101">
    <cfRule type="duplicateValues" dxfId="0" priority="4507"/>
  </conditionalFormatting>
  <conditionalFormatting sqref="BUF101">
    <cfRule type="duplicateValues" dxfId="0" priority="4506"/>
  </conditionalFormatting>
  <conditionalFormatting sqref="BUM101">
    <cfRule type="duplicateValues" dxfId="0" priority="4505"/>
  </conditionalFormatting>
  <conditionalFormatting sqref="BUT101">
    <cfRule type="duplicateValues" dxfId="0" priority="4504"/>
  </conditionalFormatting>
  <conditionalFormatting sqref="BVA101">
    <cfRule type="duplicateValues" dxfId="0" priority="4503"/>
  </conditionalFormatting>
  <conditionalFormatting sqref="BVH101">
    <cfRule type="duplicateValues" dxfId="0" priority="4502"/>
  </conditionalFormatting>
  <conditionalFormatting sqref="BVO101">
    <cfRule type="duplicateValues" dxfId="0" priority="4501"/>
  </conditionalFormatting>
  <conditionalFormatting sqref="BVV101">
    <cfRule type="duplicateValues" dxfId="0" priority="4500"/>
  </conditionalFormatting>
  <conditionalFormatting sqref="BWC101">
    <cfRule type="duplicateValues" dxfId="0" priority="4499"/>
  </conditionalFormatting>
  <conditionalFormatting sqref="BWJ101">
    <cfRule type="duplicateValues" dxfId="0" priority="4498"/>
  </conditionalFormatting>
  <conditionalFormatting sqref="BWQ101">
    <cfRule type="duplicateValues" dxfId="0" priority="4497"/>
  </conditionalFormatting>
  <conditionalFormatting sqref="BWX101">
    <cfRule type="duplicateValues" dxfId="0" priority="4496"/>
  </conditionalFormatting>
  <conditionalFormatting sqref="BXE101">
    <cfRule type="duplicateValues" dxfId="0" priority="4495"/>
  </conditionalFormatting>
  <conditionalFormatting sqref="BXL101">
    <cfRule type="duplicateValues" dxfId="0" priority="4494"/>
  </conditionalFormatting>
  <conditionalFormatting sqref="BXS101">
    <cfRule type="duplicateValues" dxfId="0" priority="4493"/>
  </conditionalFormatting>
  <conditionalFormatting sqref="BXZ101">
    <cfRule type="duplicateValues" dxfId="0" priority="4492"/>
  </conditionalFormatting>
  <conditionalFormatting sqref="BYG101">
    <cfRule type="duplicateValues" dxfId="0" priority="4491"/>
  </conditionalFormatting>
  <conditionalFormatting sqref="BYN101">
    <cfRule type="duplicateValues" dxfId="0" priority="4490"/>
  </conditionalFormatting>
  <conditionalFormatting sqref="BYU101">
    <cfRule type="duplicateValues" dxfId="0" priority="4489"/>
  </conditionalFormatting>
  <conditionalFormatting sqref="BZB101">
    <cfRule type="duplicateValues" dxfId="0" priority="4488"/>
  </conditionalFormatting>
  <conditionalFormatting sqref="BZI101">
    <cfRule type="duplicateValues" dxfId="0" priority="4487"/>
  </conditionalFormatting>
  <conditionalFormatting sqref="BZP101">
    <cfRule type="duplicateValues" dxfId="0" priority="4486"/>
  </conditionalFormatting>
  <conditionalFormatting sqref="BZW101">
    <cfRule type="duplicateValues" dxfId="0" priority="4485"/>
  </conditionalFormatting>
  <conditionalFormatting sqref="CAD101">
    <cfRule type="duplicateValues" dxfId="0" priority="4484"/>
  </conditionalFormatting>
  <conditionalFormatting sqref="CAK101">
    <cfRule type="duplicateValues" dxfId="0" priority="4483"/>
  </conditionalFormatting>
  <conditionalFormatting sqref="CAR101">
    <cfRule type="duplicateValues" dxfId="0" priority="4482"/>
  </conditionalFormatting>
  <conditionalFormatting sqref="CAY101">
    <cfRule type="duplicateValues" dxfId="0" priority="4481"/>
  </conditionalFormatting>
  <conditionalFormatting sqref="CBF101">
    <cfRule type="duplicateValues" dxfId="0" priority="4480"/>
  </conditionalFormatting>
  <conditionalFormatting sqref="CBM101">
    <cfRule type="duplicateValues" dxfId="0" priority="4479"/>
  </conditionalFormatting>
  <conditionalFormatting sqref="CBT101">
    <cfRule type="duplicateValues" dxfId="0" priority="4478"/>
  </conditionalFormatting>
  <conditionalFormatting sqref="CCA101">
    <cfRule type="duplicateValues" dxfId="0" priority="4477"/>
  </conditionalFormatting>
  <conditionalFormatting sqref="CCH101">
    <cfRule type="duplicateValues" dxfId="0" priority="4476"/>
  </conditionalFormatting>
  <conditionalFormatting sqref="CCO101">
    <cfRule type="duplicateValues" dxfId="0" priority="4475"/>
  </conditionalFormatting>
  <conditionalFormatting sqref="CCV101">
    <cfRule type="duplicateValues" dxfId="0" priority="4474"/>
  </conditionalFormatting>
  <conditionalFormatting sqref="CDC101">
    <cfRule type="duplicateValues" dxfId="0" priority="4473"/>
  </conditionalFormatting>
  <conditionalFormatting sqref="CDJ101">
    <cfRule type="duplicateValues" dxfId="0" priority="4472"/>
  </conditionalFormatting>
  <conditionalFormatting sqref="CDQ101">
    <cfRule type="duplicateValues" dxfId="0" priority="4471"/>
  </conditionalFormatting>
  <conditionalFormatting sqref="CDX101">
    <cfRule type="duplicateValues" dxfId="0" priority="4470"/>
  </conditionalFormatting>
  <conditionalFormatting sqref="CEE101">
    <cfRule type="duplicateValues" dxfId="0" priority="4469"/>
  </conditionalFormatting>
  <conditionalFormatting sqref="CEL101">
    <cfRule type="duplicateValues" dxfId="0" priority="4468"/>
  </conditionalFormatting>
  <conditionalFormatting sqref="CES101">
    <cfRule type="duplicateValues" dxfId="0" priority="4467"/>
  </conditionalFormatting>
  <conditionalFormatting sqref="CEZ101">
    <cfRule type="duplicateValues" dxfId="0" priority="4466"/>
  </conditionalFormatting>
  <conditionalFormatting sqref="CFG101">
    <cfRule type="duplicateValues" dxfId="0" priority="4465"/>
  </conditionalFormatting>
  <conditionalFormatting sqref="CFN101">
    <cfRule type="duplicateValues" dxfId="0" priority="4464"/>
  </conditionalFormatting>
  <conditionalFormatting sqref="CFU101">
    <cfRule type="duplicateValues" dxfId="0" priority="4463"/>
  </conditionalFormatting>
  <conditionalFormatting sqref="CGB101">
    <cfRule type="duplicateValues" dxfId="0" priority="4462"/>
  </conditionalFormatting>
  <conditionalFormatting sqref="CGI101">
    <cfRule type="duplicateValues" dxfId="0" priority="4461"/>
  </conditionalFormatting>
  <conditionalFormatting sqref="CGP101">
    <cfRule type="duplicateValues" dxfId="0" priority="4460"/>
  </conditionalFormatting>
  <conditionalFormatting sqref="CGW101">
    <cfRule type="duplicateValues" dxfId="0" priority="4459"/>
  </conditionalFormatting>
  <conditionalFormatting sqref="CHD101">
    <cfRule type="duplicateValues" dxfId="0" priority="4458"/>
  </conditionalFormatting>
  <conditionalFormatting sqref="CHK101">
    <cfRule type="duplicateValues" dxfId="0" priority="4457"/>
  </conditionalFormatting>
  <conditionalFormatting sqref="CHR101">
    <cfRule type="duplicateValues" dxfId="0" priority="4456"/>
  </conditionalFormatting>
  <conditionalFormatting sqref="CHY101">
    <cfRule type="duplicateValues" dxfId="0" priority="4455"/>
  </conditionalFormatting>
  <conditionalFormatting sqref="CIF101">
    <cfRule type="duplicateValues" dxfId="0" priority="4454"/>
  </conditionalFormatting>
  <conditionalFormatting sqref="CIM101">
    <cfRule type="duplicateValues" dxfId="0" priority="4453"/>
  </conditionalFormatting>
  <conditionalFormatting sqref="CIT101">
    <cfRule type="duplicateValues" dxfId="0" priority="4452"/>
  </conditionalFormatting>
  <conditionalFormatting sqref="CJA101">
    <cfRule type="duplicateValues" dxfId="0" priority="4451"/>
  </conditionalFormatting>
  <conditionalFormatting sqref="CJH101">
    <cfRule type="duplicateValues" dxfId="0" priority="4450"/>
  </conditionalFormatting>
  <conditionalFormatting sqref="CJO101">
    <cfRule type="duplicateValues" dxfId="0" priority="4449"/>
  </conditionalFormatting>
  <conditionalFormatting sqref="CJV101">
    <cfRule type="duplicateValues" dxfId="0" priority="4448"/>
  </conditionalFormatting>
  <conditionalFormatting sqref="CKC101">
    <cfRule type="duplicateValues" dxfId="0" priority="4447"/>
  </conditionalFormatting>
  <conditionalFormatting sqref="CKJ101">
    <cfRule type="duplicateValues" dxfId="0" priority="4446"/>
  </conditionalFormatting>
  <conditionalFormatting sqref="CKQ101">
    <cfRule type="duplicateValues" dxfId="0" priority="4445"/>
  </conditionalFormatting>
  <conditionalFormatting sqref="CKX101">
    <cfRule type="duplicateValues" dxfId="0" priority="4444"/>
  </conditionalFormatting>
  <conditionalFormatting sqref="CLE101">
    <cfRule type="duplicateValues" dxfId="0" priority="4443"/>
  </conditionalFormatting>
  <conditionalFormatting sqref="CLL101">
    <cfRule type="duplicateValues" dxfId="0" priority="4442"/>
  </conditionalFormatting>
  <conditionalFormatting sqref="CLS101">
    <cfRule type="duplicateValues" dxfId="0" priority="4441"/>
  </conditionalFormatting>
  <conditionalFormatting sqref="CLZ101">
    <cfRule type="duplicateValues" dxfId="0" priority="4440"/>
  </conditionalFormatting>
  <conditionalFormatting sqref="CMG101">
    <cfRule type="duplicateValues" dxfId="0" priority="4439"/>
  </conditionalFormatting>
  <conditionalFormatting sqref="CMN101">
    <cfRule type="duplicateValues" dxfId="0" priority="4438"/>
  </conditionalFormatting>
  <conditionalFormatting sqref="CMU101">
    <cfRule type="duplicateValues" dxfId="0" priority="4437"/>
  </conditionalFormatting>
  <conditionalFormatting sqref="CNB101">
    <cfRule type="duplicateValues" dxfId="0" priority="4436"/>
  </conditionalFormatting>
  <conditionalFormatting sqref="CNI101">
    <cfRule type="duplicateValues" dxfId="0" priority="4435"/>
  </conditionalFormatting>
  <conditionalFormatting sqref="CNP101">
    <cfRule type="duplicateValues" dxfId="0" priority="4434"/>
  </conditionalFormatting>
  <conditionalFormatting sqref="CNW101">
    <cfRule type="duplicateValues" dxfId="0" priority="4433"/>
  </conditionalFormatting>
  <conditionalFormatting sqref="COD101">
    <cfRule type="duplicateValues" dxfId="0" priority="4432"/>
  </conditionalFormatting>
  <conditionalFormatting sqref="COK101">
    <cfRule type="duplicateValues" dxfId="0" priority="4431"/>
  </conditionalFormatting>
  <conditionalFormatting sqref="COR101">
    <cfRule type="duplicateValues" dxfId="0" priority="4430"/>
  </conditionalFormatting>
  <conditionalFormatting sqref="COY101">
    <cfRule type="duplicateValues" dxfId="0" priority="4429"/>
  </conditionalFormatting>
  <conditionalFormatting sqref="CPF101">
    <cfRule type="duplicateValues" dxfId="0" priority="4428"/>
  </conditionalFormatting>
  <conditionalFormatting sqref="CPM101">
    <cfRule type="duplicateValues" dxfId="0" priority="4427"/>
  </conditionalFormatting>
  <conditionalFormatting sqref="CPT101">
    <cfRule type="duplicateValues" dxfId="0" priority="4426"/>
  </conditionalFormatting>
  <conditionalFormatting sqref="CQA101">
    <cfRule type="duplicateValues" dxfId="0" priority="4425"/>
  </conditionalFormatting>
  <conditionalFormatting sqref="CQH101">
    <cfRule type="duplicateValues" dxfId="0" priority="4424"/>
  </conditionalFormatting>
  <conditionalFormatting sqref="CQO101">
    <cfRule type="duplicateValues" dxfId="0" priority="4423"/>
  </conditionalFormatting>
  <conditionalFormatting sqref="CQV101">
    <cfRule type="duplicateValues" dxfId="0" priority="4422"/>
  </conditionalFormatting>
  <conditionalFormatting sqref="CRC101">
    <cfRule type="duplicateValues" dxfId="0" priority="4421"/>
  </conditionalFormatting>
  <conditionalFormatting sqref="CRJ101">
    <cfRule type="duplicateValues" dxfId="0" priority="4420"/>
  </conditionalFormatting>
  <conditionalFormatting sqref="CRQ101">
    <cfRule type="duplicateValues" dxfId="0" priority="4419"/>
  </conditionalFormatting>
  <conditionalFormatting sqref="CRX101">
    <cfRule type="duplicateValues" dxfId="0" priority="4418"/>
  </conditionalFormatting>
  <conditionalFormatting sqref="CSE101">
    <cfRule type="duplicateValues" dxfId="0" priority="4417"/>
  </conditionalFormatting>
  <conditionalFormatting sqref="CSL101">
    <cfRule type="duplicateValues" dxfId="0" priority="4416"/>
  </conditionalFormatting>
  <conditionalFormatting sqref="CSS101">
    <cfRule type="duplicateValues" dxfId="0" priority="4415"/>
  </conditionalFormatting>
  <conditionalFormatting sqref="CSZ101">
    <cfRule type="duplicateValues" dxfId="0" priority="4414"/>
  </conditionalFormatting>
  <conditionalFormatting sqref="CTG101">
    <cfRule type="duplicateValues" dxfId="0" priority="4413"/>
  </conditionalFormatting>
  <conditionalFormatting sqref="CTN101">
    <cfRule type="duplicateValues" dxfId="0" priority="4412"/>
  </conditionalFormatting>
  <conditionalFormatting sqref="CTU101">
    <cfRule type="duplicateValues" dxfId="0" priority="4411"/>
  </conditionalFormatting>
  <conditionalFormatting sqref="CUB101">
    <cfRule type="duplicateValues" dxfId="0" priority="4410"/>
  </conditionalFormatting>
  <conditionalFormatting sqref="CUI101">
    <cfRule type="duplicateValues" dxfId="0" priority="4409"/>
  </conditionalFormatting>
  <conditionalFormatting sqref="CUP101">
    <cfRule type="duplicateValues" dxfId="0" priority="4408"/>
  </conditionalFormatting>
  <conditionalFormatting sqref="CUW101">
    <cfRule type="duplicateValues" dxfId="0" priority="4407"/>
  </conditionalFormatting>
  <conditionalFormatting sqref="CVD101">
    <cfRule type="duplicateValues" dxfId="0" priority="4406"/>
  </conditionalFormatting>
  <conditionalFormatting sqref="CVK101">
    <cfRule type="duplicateValues" dxfId="0" priority="4405"/>
  </conditionalFormatting>
  <conditionalFormatting sqref="CVR101">
    <cfRule type="duplicateValues" dxfId="0" priority="4404"/>
  </conditionalFormatting>
  <conditionalFormatting sqref="CVY101">
    <cfRule type="duplicateValues" dxfId="0" priority="4403"/>
  </conditionalFormatting>
  <conditionalFormatting sqref="CWF101">
    <cfRule type="duplicateValues" dxfId="0" priority="4402"/>
  </conditionalFormatting>
  <conditionalFormatting sqref="CWM101">
    <cfRule type="duplicateValues" dxfId="0" priority="4401"/>
  </conditionalFormatting>
  <conditionalFormatting sqref="CWT101">
    <cfRule type="duplicateValues" dxfId="0" priority="4400"/>
  </conditionalFormatting>
  <conditionalFormatting sqref="CXA101">
    <cfRule type="duplicateValues" dxfId="0" priority="4399"/>
  </conditionalFormatting>
  <conditionalFormatting sqref="CXH101">
    <cfRule type="duplicateValues" dxfId="0" priority="4398"/>
  </conditionalFormatting>
  <conditionalFormatting sqref="CXO101">
    <cfRule type="duplicateValues" dxfId="0" priority="4397"/>
  </conditionalFormatting>
  <conditionalFormatting sqref="CXV101">
    <cfRule type="duplicateValues" dxfId="0" priority="4396"/>
  </conditionalFormatting>
  <conditionalFormatting sqref="CYC101">
    <cfRule type="duplicateValues" dxfId="0" priority="4395"/>
  </conditionalFormatting>
  <conditionalFormatting sqref="CYJ101">
    <cfRule type="duplicateValues" dxfId="0" priority="4394"/>
  </conditionalFormatting>
  <conditionalFormatting sqref="CYQ101">
    <cfRule type="duplicateValues" dxfId="0" priority="4393"/>
  </conditionalFormatting>
  <conditionalFormatting sqref="CYX101">
    <cfRule type="duplicateValues" dxfId="0" priority="4392"/>
  </conditionalFormatting>
  <conditionalFormatting sqref="CZE101">
    <cfRule type="duplicateValues" dxfId="0" priority="4391"/>
  </conditionalFormatting>
  <conditionalFormatting sqref="CZL101">
    <cfRule type="duplicateValues" dxfId="0" priority="4390"/>
  </conditionalFormatting>
  <conditionalFormatting sqref="CZS101">
    <cfRule type="duplicateValues" dxfId="0" priority="4389"/>
  </conditionalFormatting>
  <conditionalFormatting sqref="CZZ101">
    <cfRule type="duplicateValues" dxfId="0" priority="4388"/>
  </conditionalFormatting>
  <conditionalFormatting sqref="DAG101">
    <cfRule type="duplicateValues" dxfId="0" priority="4387"/>
  </conditionalFormatting>
  <conditionalFormatting sqref="DAN101">
    <cfRule type="duplicateValues" dxfId="0" priority="4386"/>
  </conditionalFormatting>
  <conditionalFormatting sqref="DAU101">
    <cfRule type="duplicateValues" dxfId="0" priority="4385"/>
  </conditionalFormatting>
  <conditionalFormatting sqref="DBB101">
    <cfRule type="duplicateValues" dxfId="0" priority="4384"/>
  </conditionalFormatting>
  <conditionalFormatting sqref="DBI101">
    <cfRule type="duplicateValues" dxfId="0" priority="4383"/>
  </conditionalFormatting>
  <conditionalFormatting sqref="DBP101">
    <cfRule type="duplicateValues" dxfId="0" priority="4382"/>
  </conditionalFormatting>
  <conditionalFormatting sqref="DBW101">
    <cfRule type="duplicateValues" dxfId="0" priority="4381"/>
  </conditionalFormatting>
  <conditionalFormatting sqref="DCD101">
    <cfRule type="duplicateValues" dxfId="0" priority="4380"/>
  </conditionalFormatting>
  <conditionalFormatting sqref="DCK101">
    <cfRule type="duplicateValues" dxfId="0" priority="4379"/>
  </conditionalFormatting>
  <conditionalFormatting sqref="DCR101">
    <cfRule type="duplicateValues" dxfId="0" priority="4378"/>
  </conditionalFormatting>
  <conditionalFormatting sqref="DCY101">
    <cfRule type="duplicateValues" dxfId="0" priority="4377"/>
  </conditionalFormatting>
  <conditionalFormatting sqref="DDF101">
    <cfRule type="duplicateValues" dxfId="0" priority="4376"/>
  </conditionalFormatting>
  <conditionalFormatting sqref="DDM101">
    <cfRule type="duplicateValues" dxfId="0" priority="4375"/>
  </conditionalFormatting>
  <conditionalFormatting sqref="DDT101">
    <cfRule type="duplicateValues" dxfId="0" priority="4374"/>
  </conditionalFormatting>
  <conditionalFormatting sqref="DEA101">
    <cfRule type="duplicateValues" dxfId="0" priority="4373"/>
  </conditionalFormatting>
  <conditionalFormatting sqref="DEH101">
    <cfRule type="duplicateValues" dxfId="0" priority="4372"/>
  </conditionalFormatting>
  <conditionalFormatting sqref="DEO101">
    <cfRule type="duplicateValues" dxfId="0" priority="4371"/>
  </conditionalFormatting>
  <conditionalFormatting sqref="DEV101">
    <cfRule type="duplicateValues" dxfId="0" priority="4370"/>
  </conditionalFormatting>
  <conditionalFormatting sqref="DFC101">
    <cfRule type="duplicateValues" dxfId="0" priority="4369"/>
  </conditionalFormatting>
  <conditionalFormatting sqref="DFJ101">
    <cfRule type="duplicateValues" dxfId="0" priority="4368"/>
  </conditionalFormatting>
  <conditionalFormatting sqref="DFQ101">
    <cfRule type="duplicateValues" dxfId="0" priority="4367"/>
  </conditionalFormatting>
  <conditionalFormatting sqref="DFX101">
    <cfRule type="duplicateValues" dxfId="0" priority="4366"/>
  </conditionalFormatting>
  <conditionalFormatting sqref="DGE101">
    <cfRule type="duplicateValues" dxfId="0" priority="4365"/>
  </conditionalFormatting>
  <conditionalFormatting sqref="DGL101">
    <cfRule type="duplicateValues" dxfId="0" priority="4364"/>
  </conditionalFormatting>
  <conditionalFormatting sqref="DGS101">
    <cfRule type="duplicateValues" dxfId="0" priority="4363"/>
  </conditionalFormatting>
  <conditionalFormatting sqref="DGZ101">
    <cfRule type="duplicateValues" dxfId="0" priority="4362"/>
  </conditionalFormatting>
  <conditionalFormatting sqref="DHG101">
    <cfRule type="duplicateValues" dxfId="0" priority="4361"/>
  </conditionalFormatting>
  <conditionalFormatting sqref="DHN101">
    <cfRule type="duplicateValues" dxfId="0" priority="4360"/>
  </conditionalFormatting>
  <conditionalFormatting sqref="DHU101">
    <cfRule type="duplicateValues" dxfId="0" priority="4359"/>
  </conditionalFormatting>
  <conditionalFormatting sqref="DIB101">
    <cfRule type="duplicateValues" dxfId="0" priority="4358"/>
  </conditionalFormatting>
  <conditionalFormatting sqref="DII101">
    <cfRule type="duplicateValues" dxfId="0" priority="4357"/>
  </conditionalFormatting>
  <conditionalFormatting sqref="DIP101">
    <cfRule type="duplicateValues" dxfId="0" priority="4356"/>
  </conditionalFormatting>
  <conditionalFormatting sqref="DIW101">
    <cfRule type="duplicateValues" dxfId="0" priority="4355"/>
  </conditionalFormatting>
  <conditionalFormatting sqref="DJD101">
    <cfRule type="duplicateValues" dxfId="0" priority="4354"/>
  </conditionalFormatting>
  <conditionalFormatting sqref="DJK101">
    <cfRule type="duplicateValues" dxfId="0" priority="4353"/>
  </conditionalFormatting>
  <conditionalFormatting sqref="DJR101">
    <cfRule type="duplicateValues" dxfId="0" priority="4352"/>
  </conditionalFormatting>
  <conditionalFormatting sqref="DJY101">
    <cfRule type="duplicateValues" dxfId="0" priority="4351"/>
  </conditionalFormatting>
  <conditionalFormatting sqref="DKF101">
    <cfRule type="duplicateValues" dxfId="0" priority="4350"/>
  </conditionalFormatting>
  <conditionalFormatting sqref="DKM101">
    <cfRule type="duplicateValues" dxfId="0" priority="4349"/>
  </conditionalFormatting>
  <conditionalFormatting sqref="DKT101">
    <cfRule type="duplicateValues" dxfId="0" priority="4348"/>
  </conditionalFormatting>
  <conditionalFormatting sqref="DLA101">
    <cfRule type="duplicateValues" dxfId="0" priority="4347"/>
  </conditionalFormatting>
  <conditionalFormatting sqref="DLH101">
    <cfRule type="duplicateValues" dxfId="0" priority="4346"/>
  </conditionalFormatting>
  <conditionalFormatting sqref="DLO101">
    <cfRule type="duplicateValues" dxfId="0" priority="4345"/>
  </conditionalFormatting>
  <conditionalFormatting sqref="DLV101">
    <cfRule type="duplicateValues" dxfId="0" priority="4344"/>
  </conditionalFormatting>
  <conditionalFormatting sqref="DMC101">
    <cfRule type="duplicateValues" dxfId="0" priority="4343"/>
  </conditionalFormatting>
  <conditionalFormatting sqref="DMJ101">
    <cfRule type="duplicateValues" dxfId="0" priority="4342"/>
  </conditionalFormatting>
  <conditionalFormatting sqref="DMQ101">
    <cfRule type="duplicateValues" dxfId="0" priority="4341"/>
  </conditionalFormatting>
  <conditionalFormatting sqref="DMX101">
    <cfRule type="duplicateValues" dxfId="0" priority="4340"/>
  </conditionalFormatting>
  <conditionalFormatting sqref="DNE101">
    <cfRule type="duplicateValues" dxfId="0" priority="4339"/>
  </conditionalFormatting>
  <conditionalFormatting sqref="DNL101">
    <cfRule type="duplicateValues" dxfId="0" priority="4338"/>
  </conditionalFormatting>
  <conditionalFormatting sqref="DNS101">
    <cfRule type="duplicateValues" dxfId="0" priority="4337"/>
  </conditionalFormatting>
  <conditionalFormatting sqref="DNZ101">
    <cfRule type="duplicateValues" dxfId="0" priority="4336"/>
  </conditionalFormatting>
  <conditionalFormatting sqref="DOG101">
    <cfRule type="duplicateValues" dxfId="0" priority="4335"/>
  </conditionalFormatting>
  <conditionalFormatting sqref="DON101">
    <cfRule type="duplicateValues" dxfId="0" priority="4334"/>
  </conditionalFormatting>
  <conditionalFormatting sqref="DOU101">
    <cfRule type="duplicateValues" dxfId="0" priority="4333"/>
  </conditionalFormatting>
  <conditionalFormatting sqref="DPB101">
    <cfRule type="duplicateValues" dxfId="0" priority="4332"/>
  </conditionalFormatting>
  <conditionalFormatting sqref="DPI101">
    <cfRule type="duplicateValues" dxfId="0" priority="4331"/>
  </conditionalFormatting>
  <conditionalFormatting sqref="DPP101">
    <cfRule type="duplicateValues" dxfId="0" priority="4330"/>
  </conditionalFormatting>
  <conditionalFormatting sqref="DPW101">
    <cfRule type="duplicateValues" dxfId="0" priority="4329"/>
  </conditionalFormatting>
  <conditionalFormatting sqref="DQD101">
    <cfRule type="duplicateValues" dxfId="0" priority="4328"/>
  </conditionalFormatting>
  <conditionalFormatting sqref="DQK101">
    <cfRule type="duplicateValues" dxfId="0" priority="4327"/>
  </conditionalFormatting>
  <conditionalFormatting sqref="DQR101">
    <cfRule type="duplicateValues" dxfId="0" priority="4326"/>
  </conditionalFormatting>
  <conditionalFormatting sqref="DQY101">
    <cfRule type="duplicateValues" dxfId="0" priority="4325"/>
  </conditionalFormatting>
  <conditionalFormatting sqref="DRF101">
    <cfRule type="duplicateValues" dxfId="0" priority="4324"/>
  </conditionalFormatting>
  <conditionalFormatting sqref="DRM101">
    <cfRule type="duplicateValues" dxfId="0" priority="4323"/>
  </conditionalFormatting>
  <conditionalFormatting sqref="DRT101">
    <cfRule type="duplicateValues" dxfId="0" priority="4322"/>
  </conditionalFormatting>
  <conditionalFormatting sqref="DSA101">
    <cfRule type="duplicateValues" dxfId="0" priority="4321"/>
  </conditionalFormatting>
  <conditionalFormatting sqref="DSH101">
    <cfRule type="duplicateValues" dxfId="0" priority="4320"/>
  </conditionalFormatting>
  <conditionalFormatting sqref="DSO101">
    <cfRule type="duplicateValues" dxfId="0" priority="4319"/>
  </conditionalFormatting>
  <conditionalFormatting sqref="DSV101">
    <cfRule type="duplicateValues" dxfId="0" priority="4318"/>
  </conditionalFormatting>
  <conditionalFormatting sqref="DTC101">
    <cfRule type="duplicateValues" dxfId="0" priority="4317"/>
  </conditionalFormatting>
  <conditionalFormatting sqref="DTJ101">
    <cfRule type="duplicateValues" dxfId="0" priority="4316"/>
  </conditionalFormatting>
  <conditionalFormatting sqref="DTQ101">
    <cfRule type="duplicateValues" dxfId="0" priority="4315"/>
  </conditionalFormatting>
  <conditionalFormatting sqref="DTX101">
    <cfRule type="duplicateValues" dxfId="0" priority="4314"/>
  </conditionalFormatting>
  <conditionalFormatting sqref="DUE101">
    <cfRule type="duplicateValues" dxfId="0" priority="4313"/>
  </conditionalFormatting>
  <conditionalFormatting sqref="DUL101">
    <cfRule type="duplicateValues" dxfId="0" priority="4312"/>
  </conditionalFormatting>
  <conditionalFormatting sqref="DUS101">
    <cfRule type="duplicateValues" dxfId="0" priority="4311"/>
  </conditionalFormatting>
  <conditionalFormatting sqref="DUZ101">
    <cfRule type="duplicateValues" dxfId="0" priority="4310"/>
  </conditionalFormatting>
  <conditionalFormatting sqref="DVG101">
    <cfRule type="duplicateValues" dxfId="0" priority="4309"/>
  </conditionalFormatting>
  <conditionalFormatting sqref="DVN101">
    <cfRule type="duplicateValues" dxfId="0" priority="4308"/>
  </conditionalFormatting>
  <conditionalFormatting sqref="DVU101">
    <cfRule type="duplicateValues" dxfId="0" priority="4307"/>
  </conditionalFormatting>
  <conditionalFormatting sqref="DWB101">
    <cfRule type="duplicateValues" dxfId="0" priority="4306"/>
  </conditionalFormatting>
  <conditionalFormatting sqref="DWI101">
    <cfRule type="duplicateValues" dxfId="0" priority="4305"/>
  </conditionalFormatting>
  <conditionalFormatting sqref="DWP101">
    <cfRule type="duplicateValues" dxfId="0" priority="4304"/>
  </conditionalFormatting>
  <conditionalFormatting sqref="DWW101">
    <cfRule type="duplicateValues" dxfId="0" priority="4303"/>
  </conditionalFormatting>
  <conditionalFormatting sqref="DXD101">
    <cfRule type="duplicateValues" dxfId="0" priority="4302"/>
  </conditionalFormatting>
  <conditionalFormatting sqref="DXK101">
    <cfRule type="duplicateValues" dxfId="0" priority="4301"/>
  </conditionalFormatting>
  <conditionalFormatting sqref="DXR101">
    <cfRule type="duplicateValues" dxfId="0" priority="4300"/>
  </conditionalFormatting>
  <conditionalFormatting sqref="DXY101">
    <cfRule type="duplicateValues" dxfId="0" priority="4299"/>
  </conditionalFormatting>
  <conditionalFormatting sqref="DYF101">
    <cfRule type="duplicateValues" dxfId="0" priority="4298"/>
  </conditionalFormatting>
  <conditionalFormatting sqref="DYM101">
    <cfRule type="duplicateValues" dxfId="0" priority="4297"/>
  </conditionalFormatting>
  <conditionalFormatting sqref="DYT101">
    <cfRule type="duplicateValues" dxfId="0" priority="4296"/>
  </conditionalFormatting>
  <conditionalFormatting sqref="DZA101">
    <cfRule type="duplicateValues" dxfId="0" priority="4295"/>
  </conditionalFormatting>
  <conditionalFormatting sqref="DZH101">
    <cfRule type="duplicateValues" dxfId="0" priority="4294"/>
  </conditionalFormatting>
  <conditionalFormatting sqref="DZO101">
    <cfRule type="duplicateValues" dxfId="0" priority="4293"/>
  </conditionalFormatting>
  <conditionalFormatting sqref="DZV101">
    <cfRule type="duplicateValues" dxfId="0" priority="4292"/>
  </conditionalFormatting>
  <conditionalFormatting sqref="EAC101">
    <cfRule type="duplicateValues" dxfId="0" priority="4291"/>
  </conditionalFormatting>
  <conditionalFormatting sqref="EAJ101">
    <cfRule type="duplicateValues" dxfId="0" priority="4290"/>
  </conditionalFormatting>
  <conditionalFormatting sqref="EAQ101">
    <cfRule type="duplicateValues" dxfId="0" priority="4289"/>
  </conditionalFormatting>
  <conditionalFormatting sqref="EAX101">
    <cfRule type="duplicateValues" dxfId="0" priority="4288"/>
  </conditionalFormatting>
  <conditionalFormatting sqref="EBE101">
    <cfRule type="duplicateValues" dxfId="0" priority="4287"/>
  </conditionalFormatting>
  <conditionalFormatting sqref="EBL101">
    <cfRule type="duplicateValues" dxfId="0" priority="4286"/>
  </conditionalFormatting>
  <conditionalFormatting sqref="EBS101">
    <cfRule type="duplicateValues" dxfId="0" priority="4285"/>
  </conditionalFormatting>
  <conditionalFormatting sqref="EBZ101">
    <cfRule type="duplicateValues" dxfId="0" priority="4284"/>
  </conditionalFormatting>
  <conditionalFormatting sqref="ECG101">
    <cfRule type="duplicateValues" dxfId="0" priority="4283"/>
  </conditionalFormatting>
  <conditionalFormatting sqref="ECN101">
    <cfRule type="duplicateValues" dxfId="0" priority="4282"/>
  </conditionalFormatting>
  <conditionalFormatting sqref="ECU101">
    <cfRule type="duplicateValues" dxfId="0" priority="4281"/>
  </conditionalFormatting>
  <conditionalFormatting sqref="EDB101">
    <cfRule type="duplicateValues" dxfId="0" priority="4280"/>
  </conditionalFormatting>
  <conditionalFormatting sqref="EDI101">
    <cfRule type="duplicateValues" dxfId="0" priority="4279"/>
  </conditionalFormatting>
  <conditionalFormatting sqref="EDP101">
    <cfRule type="duplicateValues" dxfId="0" priority="4278"/>
  </conditionalFormatting>
  <conditionalFormatting sqref="EDW101">
    <cfRule type="duplicateValues" dxfId="0" priority="4277"/>
  </conditionalFormatting>
  <conditionalFormatting sqref="EED101">
    <cfRule type="duplicateValues" dxfId="0" priority="4276"/>
  </conditionalFormatting>
  <conditionalFormatting sqref="EEK101">
    <cfRule type="duplicateValues" dxfId="0" priority="4275"/>
  </conditionalFormatting>
  <conditionalFormatting sqref="EER101">
    <cfRule type="duplicateValues" dxfId="0" priority="4274"/>
  </conditionalFormatting>
  <conditionalFormatting sqref="EEY101">
    <cfRule type="duplicateValues" dxfId="0" priority="4273"/>
  </conditionalFormatting>
  <conditionalFormatting sqref="EFF101">
    <cfRule type="duplicateValues" dxfId="0" priority="4272"/>
  </conditionalFormatting>
  <conditionalFormatting sqref="EFM101">
    <cfRule type="duplicateValues" dxfId="0" priority="4271"/>
  </conditionalFormatting>
  <conditionalFormatting sqref="EFT101">
    <cfRule type="duplicateValues" dxfId="0" priority="4270"/>
  </conditionalFormatting>
  <conditionalFormatting sqref="EGA101">
    <cfRule type="duplicateValues" dxfId="0" priority="4269"/>
  </conditionalFormatting>
  <conditionalFormatting sqref="EGH101">
    <cfRule type="duplicateValues" dxfId="0" priority="4268"/>
  </conditionalFormatting>
  <conditionalFormatting sqref="EGO101">
    <cfRule type="duplicateValues" dxfId="0" priority="4267"/>
  </conditionalFormatting>
  <conditionalFormatting sqref="EGV101">
    <cfRule type="duplicateValues" dxfId="0" priority="4266"/>
  </conditionalFormatting>
  <conditionalFormatting sqref="EHC101">
    <cfRule type="duplicateValues" dxfId="0" priority="4265"/>
  </conditionalFormatting>
  <conditionalFormatting sqref="EHJ101">
    <cfRule type="duplicateValues" dxfId="0" priority="4264"/>
  </conditionalFormatting>
  <conditionalFormatting sqref="EHQ101">
    <cfRule type="duplicateValues" dxfId="0" priority="4263"/>
  </conditionalFormatting>
  <conditionalFormatting sqref="EHX101">
    <cfRule type="duplicateValues" dxfId="0" priority="4262"/>
  </conditionalFormatting>
  <conditionalFormatting sqref="EIE101">
    <cfRule type="duplicateValues" dxfId="0" priority="4261"/>
  </conditionalFormatting>
  <conditionalFormatting sqref="EIL101">
    <cfRule type="duplicateValues" dxfId="0" priority="4260"/>
  </conditionalFormatting>
  <conditionalFormatting sqref="EIS101">
    <cfRule type="duplicateValues" dxfId="0" priority="4259"/>
  </conditionalFormatting>
  <conditionalFormatting sqref="EIZ101">
    <cfRule type="duplicateValues" dxfId="0" priority="4258"/>
  </conditionalFormatting>
  <conditionalFormatting sqref="EJG101">
    <cfRule type="duplicateValues" dxfId="0" priority="4257"/>
  </conditionalFormatting>
  <conditionalFormatting sqref="EJN101">
    <cfRule type="duplicateValues" dxfId="0" priority="4256"/>
  </conditionalFormatting>
  <conditionalFormatting sqref="EJU101">
    <cfRule type="duplicateValues" dxfId="0" priority="4255"/>
  </conditionalFormatting>
  <conditionalFormatting sqref="EKB101">
    <cfRule type="duplicateValues" dxfId="0" priority="4254"/>
  </conditionalFormatting>
  <conditionalFormatting sqref="EKI101">
    <cfRule type="duplicateValues" dxfId="0" priority="4253"/>
  </conditionalFormatting>
  <conditionalFormatting sqref="EKP101">
    <cfRule type="duplicateValues" dxfId="0" priority="4252"/>
  </conditionalFormatting>
  <conditionalFormatting sqref="EKW101">
    <cfRule type="duplicateValues" dxfId="0" priority="4251"/>
  </conditionalFormatting>
  <conditionalFormatting sqref="ELD101">
    <cfRule type="duplicateValues" dxfId="0" priority="4250"/>
  </conditionalFormatting>
  <conditionalFormatting sqref="ELK101">
    <cfRule type="duplicateValues" dxfId="0" priority="4249"/>
  </conditionalFormatting>
  <conditionalFormatting sqref="ELR101">
    <cfRule type="duplicateValues" dxfId="0" priority="4248"/>
  </conditionalFormatting>
  <conditionalFormatting sqref="ELY101">
    <cfRule type="duplicateValues" dxfId="0" priority="4247"/>
  </conditionalFormatting>
  <conditionalFormatting sqref="EMF101">
    <cfRule type="duplicateValues" dxfId="0" priority="4246"/>
  </conditionalFormatting>
  <conditionalFormatting sqref="EMM101">
    <cfRule type="duplicateValues" dxfId="0" priority="4245"/>
  </conditionalFormatting>
  <conditionalFormatting sqref="EMT101">
    <cfRule type="duplicateValues" dxfId="0" priority="4244"/>
  </conditionalFormatting>
  <conditionalFormatting sqref="ENA101">
    <cfRule type="duplicateValues" dxfId="0" priority="4243"/>
  </conditionalFormatting>
  <conditionalFormatting sqref="ENH101">
    <cfRule type="duplicateValues" dxfId="0" priority="4242"/>
  </conditionalFormatting>
  <conditionalFormatting sqref="ENO101">
    <cfRule type="duplicateValues" dxfId="0" priority="4241"/>
  </conditionalFormatting>
  <conditionalFormatting sqref="ENV101">
    <cfRule type="duplicateValues" dxfId="0" priority="4240"/>
  </conditionalFormatting>
  <conditionalFormatting sqref="EOC101">
    <cfRule type="duplicateValues" dxfId="0" priority="4239"/>
  </conditionalFormatting>
  <conditionalFormatting sqref="EOJ101">
    <cfRule type="duplicateValues" dxfId="0" priority="4238"/>
  </conditionalFormatting>
  <conditionalFormatting sqref="EOQ101">
    <cfRule type="duplicateValues" dxfId="0" priority="4237"/>
  </conditionalFormatting>
  <conditionalFormatting sqref="EOX101">
    <cfRule type="duplicateValues" dxfId="0" priority="4236"/>
  </conditionalFormatting>
  <conditionalFormatting sqref="EPE101">
    <cfRule type="duplicateValues" dxfId="0" priority="4235"/>
  </conditionalFormatting>
  <conditionalFormatting sqref="EPL101">
    <cfRule type="duplicateValues" dxfId="0" priority="4234"/>
  </conditionalFormatting>
  <conditionalFormatting sqref="EPS101">
    <cfRule type="duplicateValues" dxfId="0" priority="4233"/>
  </conditionalFormatting>
  <conditionalFormatting sqref="EPZ101">
    <cfRule type="duplicateValues" dxfId="0" priority="4232"/>
  </conditionalFormatting>
  <conditionalFormatting sqref="EQG101">
    <cfRule type="duplicateValues" dxfId="0" priority="4231"/>
  </conditionalFormatting>
  <conditionalFormatting sqref="EQN101">
    <cfRule type="duplicateValues" dxfId="0" priority="4230"/>
  </conditionalFormatting>
  <conditionalFormatting sqref="EQU101">
    <cfRule type="duplicateValues" dxfId="0" priority="4229"/>
  </conditionalFormatting>
  <conditionalFormatting sqref="ERB101">
    <cfRule type="duplicateValues" dxfId="0" priority="4228"/>
  </conditionalFormatting>
  <conditionalFormatting sqref="ERI101">
    <cfRule type="duplicateValues" dxfId="0" priority="4227"/>
  </conditionalFormatting>
  <conditionalFormatting sqref="ERP101">
    <cfRule type="duplicateValues" dxfId="0" priority="4226"/>
  </conditionalFormatting>
  <conditionalFormatting sqref="ERW101">
    <cfRule type="duplicateValues" dxfId="0" priority="4225"/>
  </conditionalFormatting>
  <conditionalFormatting sqref="ESD101">
    <cfRule type="duplicateValues" dxfId="0" priority="4224"/>
  </conditionalFormatting>
  <conditionalFormatting sqref="ESK101">
    <cfRule type="duplicateValues" dxfId="0" priority="4223"/>
  </conditionalFormatting>
  <conditionalFormatting sqref="ESR101">
    <cfRule type="duplicateValues" dxfId="0" priority="4222"/>
  </conditionalFormatting>
  <conditionalFormatting sqref="ESY101">
    <cfRule type="duplicateValues" dxfId="0" priority="4221"/>
  </conditionalFormatting>
  <conditionalFormatting sqref="ETF101">
    <cfRule type="duplicateValues" dxfId="0" priority="4220"/>
  </conditionalFormatting>
  <conditionalFormatting sqref="ETM101">
    <cfRule type="duplicateValues" dxfId="0" priority="4219"/>
  </conditionalFormatting>
  <conditionalFormatting sqref="ETT101">
    <cfRule type="duplicateValues" dxfId="0" priority="4218"/>
  </conditionalFormatting>
  <conditionalFormatting sqref="EUA101">
    <cfRule type="duplicateValues" dxfId="0" priority="4217"/>
  </conditionalFormatting>
  <conditionalFormatting sqref="EUH101">
    <cfRule type="duplicateValues" dxfId="0" priority="4216"/>
  </conditionalFormatting>
  <conditionalFormatting sqref="EUO101">
    <cfRule type="duplicateValues" dxfId="0" priority="4215"/>
  </conditionalFormatting>
  <conditionalFormatting sqref="EUV101">
    <cfRule type="duplicateValues" dxfId="0" priority="4214"/>
  </conditionalFormatting>
  <conditionalFormatting sqref="EVC101">
    <cfRule type="duplicateValues" dxfId="0" priority="4213"/>
  </conditionalFormatting>
  <conditionalFormatting sqref="EVJ101">
    <cfRule type="duplicateValues" dxfId="0" priority="4212"/>
  </conditionalFormatting>
  <conditionalFormatting sqref="EVQ101">
    <cfRule type="duplicateValues" dxfId="0" priority="4211"/>
  </conditionalFormatting>
  <conditionalFormatting sqref="EVX101">
    <cfRule type="duplicateValues" dxfId="0" priority="4210"/>
  </conditionalFormatting>
  <conditionalFormatting sqref="EWE101">
    <cfRule type="duplicateValues" dxfId="0" priority="4209"/>
  </conditionalFormatting>
  <conditionalFormatting sqref="EWL101">
    <cfRule type="duplicateValues" dxfId="0" priority="4208"/>
  </conditionalFormatting>
  <conditionalFormatting sqref="EWS101">
    <cfRule type="duplicateValues" dxfId="0" priority="4207"/>
  </conditionalFormatting>
  <conditionalFormatting sqref="EWZ101">
    <cfRule type="duplicateValues" dxfId="0" priority="4206"/>
  </conditionalFormatting>
  <conditionalFormatting sqref="EXG101">
    <cfRule type="duplicateValues" dxfId="0" priority="4205"/>
  </conditionalFormatting>
  <conditionalFormatting sqref="EXN101">
    <cfRule type="duplicateValues" dxfId="0" priority="4204"/>
  </conditionalFormatting>
  <conditionalFormatting sqref="EXU101">
    <cfRule type="duplicateValues" dxfId="0" priority="4203"/>
  </conditionalFormatting>
  <conditionalFormatting sqref="EYB101">
    <cfRule type="duplicateValues" dxfId="0" priority="4202"/>
  </conditionalFormatting>
  <conditionalFormatting sqref="EYI101">
    <cfRule type="duplicateValues" dxfId="0" priority="4201"/>
  </conditionalFormatting>
  <conditionalFormatting sqref="EYP101">
    <cfRule type="duplicateValues" dxfId="0" priority="4200"/>
  </conditionalFormatting>
  <conditionalFormatting sqref="EYW101">
    <cfRule type="duplicateValues" dxfId="0" priority="4199"/>
  </conditionalFormatting>
  <conditionalFormatting sqref="EZD101">
    <cfRule type="duplicateValues" dxfId="0" priority="4198"/>
  </conditionalFormatting>
  <conditionalFormatting sqref="EZK101">
    <cfRule type="duplicateValues" dxfId="0" priority="4197"/>
  </conditionalFormatting>
  <conditionalFormatting sqref="EZR101">
    <cfRule type="duplicateValues" dxfId="0" priority="4196"/>
  </conditionalFormatting>
  <conditionalFormatting sqref="EZY101">
    <cfRule type="duplicateValues" dxfId="0" priority="4195"/>
  </conditionalFormatting>
  <conditionalFormatting sqref="FAF101">
    <cfRule type="duplicateValues" dxfId="0" priority="4194"/>
  </conditionalFormatting>
  <conditionalFormatting sqref="FAM101">
    <cfRule type="duplicateValues" dxfId="0" priority="4193"/>
  </conditionalFormatting>
  <conditionalFormatting sqref="FAT101">
    <cfRule type="duplicateValues" dxfId="0" priority="4192"/>
  </conditionalFormatting>
  <conditionalFormatting sqref="FBA101">
    <cfRule type="duplicateValues" dxfId="0" priority="4191"/>
  </conditionalFormatting>
  <conditionalFormatting sqref="FBH101">
    <cfRule type="duplicateValues" dxfId="0" priority="4190"/>
  </conditionalFormatting>
  <conditionalFormatting sqref="FBO101">
    <cfRule type="duplicateValues" dxfId="0" priority="4189"/>
  </conditionalFormatting>
  <conditionalFormatting sqref="FBV101">
    <cfRule type="duplicateValues" dxfId="0" priority="4188"/>
  </conditionalFormatting>
  <conditionalFormatting sqref="FCC101">
    <cfRule type="duplicateValues" dxfId="0" priority="4187"/>
  </conditionalFormatting>
  <conditionalFormatting sqref="FCJ101">
    <cfRule type="duplicateValues" dxfId="0" priority="4186"/>
  </conditionalFormatting>
  <conditionalFormatting sqref="FCQ101">
    <cfRule type="duplicateValues" dxfId="0" priority="4185"/>
  </conditionalFormatting>
  <conditionalFormatting sqref="FCX101">
    <cfRule type="duplicateValues" dxfId="0" priority="4184"/>
  </conditionalFormatting>
  <conditionalFormatting sqref="FDE101">
    <cfRule type="duplicateValues" dxfId="0" priority="4183"/>
  </conditionalFormatting>
  <conditionalFormatting sqref="FDL101">
    <cfRule type="duplicateValues" dxfId="0" priority="4182"/>
  </conditionalFormatting>
  <conditionalFormatting sqref="FDS101">
    <cfRule type="duplicateValues" dxfId="0" priority="4181"/>
  </conditionalFormatting>
  <conditionalFormatting sqref="FDZ101">
    <cfRule type="duplicateValues" dxfId="0" priority="4180"/>
  </conditionalFormatting>
  <conditionalFormatting sqref="FEG101">
    <cfRule type="duplicateValues" dxfId="0" priority="4179"/>
  </conditionalFormatting>
  <conditionalFormatting sqref="FEN101">
    <cfRule type="duplicateValues" dxfId="0" priority="4178"/>
  </conditionalFormatting>
  <conditionalFormatting sqref="FEU101">
    <cfRule type="duplicateValues" dxfId="0" priority="4177"/>
  </conditionalFormatting>
  <conditionalFormatting sqref="FFB101">
    <cfRule type="duplicateValues" dxfId="0" priority="4176"/>
  </conditionalFormatting>
  <conditionalFormatting sqref="FFI101">
    <cfRule type="duplicateValues" dxfId="0" priority="4175"/>
  </conditionalFormatting>
  <conditionalFormatting sqref="FFP101">
    <cfRule type="duplicateValues" dxfId="0" priority="4174"/>
  </conditionalFormatting>
  <conditionalFormatting sqref="FFW101">
    <cfRule type="duplicateValues" dxfId="0" priority="4173"/>
  </conditionalFormatting>
  <conditionalFormatting sqref="FGD101">
    <cfRule type="duplicateValues" dxfId="0" priority="4172"/>
  </conditionalFormatting>
  <conditionalFormatting sqref="FGK101">
    <cfRule type="duplicateValues" dxfId="0" priority="4171"/>
  </conditionalFormatting>
  <conditionalFormatting sqref="FGR101">
    <cfRule type="duplicateValues" dxfId="0" priority="4170"/>
  </conditionalFormatting>
  <conditionalFormatting sqref="FGY101">
    <cfRule type="duplicateValues" dxfId="0" priority="4169"/>
  </conditionalFormatting>
  <conditionalFormatting sqref="FHF101">
    <cfRule type="duplicateValues" dxfId="0" priority="4168"/>
  </conditionalFormatting>
  <conditionalFormatting sqref="FHM101">
    <cfRule type="duplicateValues" dxfId="0" priority="4167"/>
  </conditionalFormatting>
  <conditionalFormatting sqref="FHT101">
    <cfRule type="duplicateValues" dxfId="0" priority="4166"/>
  </conditionalFormatting>
  <conditionalFormatting sqref="FIA101">
    <cfRule type="duplicateValues" dxfId="0" priority="4165"/>
  </conditionalFormatting>
  <conditionalFormatting sqref="FIH101">
    <cfRule type="duplicateValues" dxfId="0" priority="4164"/>
  </conditionalFormatting>
  <conditionalFormatting sqref="FIO101">
    <cfRule type="duplicateValues" dxfId="0" priority="4163"/>
  </conditionalFormatting>
  <conditionalFormatting sqref="FIV101">
    <cfRule type="duplicateValues" dxfId="0" priority="4162"/>
  </conditionalFormatting>
  <conditionalFormatting sqref="FJC101">
    <cfRule type="duplicateValues" dxfId="0" priority="4161"/>
  </conditionalFormatting>
  <conditionalFormatting sqref="FJJ101">
    <cfRule type="duplicateValues" dxfId="0" priority="4160"/>
  </conditionalFormatting>
  <conditionalFormatting sqref="FJQ101">
    <cfRule type="duplicateValues" dxfId="0" priority="4159"/>
  </conditionalFormatting>
  <conditionalFormatting sqref="FJX101">
    <cfRule type="duplicateValues" dxfId="0" priority="4158"/>
  </conditionalFormatting>
  <conditionalFormatting sqref="FKE101">
    <cfRule type="duplicateValues" dxfId="0" priority="4157"/>
  </conditionalFormatting>
  <conditionalFormatting sqref="FKL101">
    <cfRule type="duplicateValues" dxfId="0" priority="4156"/>
  </conditionalFormatting>
  <conditionalFormatting sqref="FKS101">
    <cfRule type="duplicateValues" dxfId="0" priority="4155"/>
  </conditionalFormatting>
  <conditionalFormatting sqref="FKZ101">
    <cfRule type="duplicateValues" dxfId="0" priority="4154"/>
  </conditionalFormatting>
  <conditionalFormatting sqref="FLG101">
    <cfRule type="duplicateValues" dxfId="0" priority="4153"/>
  </conditionalFormatting>
  <conditionalFormatting sqref="FLN101">
    <cfRule type="duplicateValues" dxfId="0" priority="4152"/>
  </conditionalFormatting>
  <conditionalFormatting sqref="FLU101">
    <cfRule type="duplicateValues" dxfId="0" priority="4151"/>
  </conditionalFormatting>
  <conditionalFormatting sqref="FMB101">
    <cfRule type="duplicateValues" dxfId="0" priority="4150"/>
  </conditionalFormatting>
  <conditionalFormatting sqref="FMI101">
    <cfRule type="duplicateValues" dxfId="0" priority="4149"/>
  </conditionalFormatting>
  <conditionalFormatting sqref="FMP101">
    <cfRule type="duplicateValues" dxfId="0" priority="4148"/>
  </conditionalFormatting>
  <conditionalFormatting sqref="FMW101">
    <cfRule type="duplicateValues" dxfId="0" priority="4147"/>
  </conditionalFormatting>
  <conditionalFormatting sqref="FND101">
    <cfRule type="duplicateValues" dxfId="0" priority="4146"/>
  </conditionalFormatting>
  <conditionalFormatting sqref="FNK101">
    <cfRule type="duplicateValues" dxfId="0" priority="4145"/>
  </conditionalFormatting>
  <conditionalFormatting sqref="FNR101">
    <cfRule type="duplicateValues" dxfId="0" priority="4144"/>
  </conditionalFormatting>
  <conditionalFormatting sqref="FNY101">
    <cfRule type="duplicateValues" dxfId="0" priority="4143"/>
  </conditionalFormatting>
  <conditionalFormatting sqref="FOF101">
    <cfRule type="duplicateValues" dxfId="0" priority="4142"/>
  </conditionalFormatting>
  <conditionalFormatting sqref="FOM101">
    <cfRule type="duplicateValues" dxfId="0" priority="4141"/>
  </conditionalFormatting>
  <conditionalFormatting sqref="FOT101">
    <cfRule type="duplicateValues" dxfId="0" priority="4140"/>
  </conditionalFormatting>
  <conditionalFormatting sqref="FPA101">
    <cfRule type="duplicateValues" dxfId="0" priority="4139"/>
  </conditionalFormatting>
  <conditionalFormatting sqref="FPH101">
    <cfRule type="duplicateValues" dxfId="0" priority="4138"/>
  </conditionalFormatting>
  <conditionalFormatting sqref="FPO101">
    <cfRule type="duplicateValues" dxfId="0" priority="4137"/>
  </conditionalFormatting>
  <conditionalFormatting sqref="FPV101">
    <cfRule type="duplicateValues" dxfId="0" priority="4136"/>
  </conditionalFormatting>
  <conditionalFormatting sqref="FQC101">
    <cfRule type="duplicateValues" dxfId="0" priority="4135"/>
  </conditionalFormatting>
  <conditionalFormatting sqref="FQJ101">
    <cfRule type="duplicateValues" dxfId="0" priority="4134"/>
  </conditionalFormatting>
  <conditionalFormatting sqref="FQQ101">
    <cfRule type="duplicateValues" dxfId="0" priority="4133"/>
  </conditionalFormatting>
  <conditionalFormatting sqref="FQX101">
    <cfRule type="duplicateValues" dxfId="0" priority="4132"/>
  </conditionalFormatting>
  <conditionalFormatting sqref="FRE101">
    <cfRule type="duplicateValues" dxfId="0" priority="4131"/>
  </conditionalFormatting>
  <conditionalFormatting sqref="FRL101">
    <cfRule type="duplicateValues" dxfId="0" priority="4130"/>
  </conditionalFormatting>
  <conditionalFormatting sqref="FRS101">
    <cfRule type="duplicateValues" dxfId="0" priority="4129"/>
  </conditionalFormatting>
  <conditionalFormatting sqref="FRZ101">
    <cfRule type="duplicateValues" dxfId="0" priority="4128"/>
  </conditionalFormatting>
  <conditionalFormatting sqref="FSG101">
    <cfRule type="duplicateValues" dxfId="0" priority="4127"/>
  </conditionalFormatting>
  <conditionalFormatting sqref="FSN101">
    <cfRule type="duplicateValues" dxfId="0" priority="4126"/>
  </conditionalFormatting>
  <conditionalFormatting sqref="FSU101">
    <cfRule type="duplicateValues" dxfId="0" priority="4125"/>
  </conditionalFormatting>
  <conditionalFormatting sqref="FTB101">
    <cfRule type="duplicateValues" dxfId="0" priority="4124"/>
  </conditionalFormatting>
  <conditionalFormatting sqref="FTI101">
    <cfRule type="duplicateValues" dxfId="0" priority="4123"/>
  </conditionalFormatting>
  <conditionalFormatting sqref="FTP101">
    <cfRule type="duplicateValues" dxfId="0" priority="4122"/>
  </conditionalFormatting>
  <conditionalFormatting sqref="FTW101">
    <cfRule type="duplicateValues" dxfId="0" priority="4121"/>
  </conditionalFormatting>
  <conditionalFormatting sqref="FUD101">
    <cfRule type="duplicateValues" dxfId="0" priority="4120"/>
  </conditionalFormatting>
  <conditionalFormatting sqref="FUK101">
    <cfRule type="duplicateValues" dxfId="0" priority="4119"/>
  </conditionalFormatting>
  <conditionalFormatting sqref="FUR101">
    <cfRule type="duplicateValues" dxfId="0" priority="4118"/>
  </conditionalFormatting>
  <conditionalFormatting sqref="FUY101">
    <cfRule type="duplicateValues" dxfId="0" priority="4117"/>
  </conditionalFormatting>
  <conditionalFormatting sqref="FVF101">
    <cfRule type="duplicateValues" dxfId="0" priority="4116"/>
  </conditionalFormatting>
  <conditionalFormatting sqref="FVM101">
    <cfRule type="duplicateValues" dxfId="0" priority="4115"/>
  </conditionalFormatting>
  <conditionalFormatting sqref="FVT101">
    <cfRule type="duplicateValues" dxfId="0" priority="4114"/>
  </conditionalFormatting>
  <conditionalFormatting sqref="FWA101">
    <cfRule type="duplicateValues" dxfId="0" priority="4113"/>
  </conditionalFormatting>
  <conditionalFormatting sqref="FWH101">
    <cfRule type="duplicateValues" dxfId="0" priority="4112"/>
  </conditionalFormatting>
  <conditionalFormatting sqref="FWO101">
    <cfRule type="duplicateValues" dxfId="0" priority="4111"/>
  </conditionalFormatting>
  <conditionalFormatting sqref="FWV101">
    <cfRule type="duplicateValues" dxfId="0" priority="4110"/>
  </conditionalFormatting>
  <conditionalFormatting sqref="FXC101">
    <cfRule type="duplicateValues" dxfId="0" priority="4109"/>
  </conditionalFormatting>
  <conditionalFormatting sqref="FXJ101">
    <cfRule type="duplicateValues" dxfId="0" priority="4108"/>
  </conditionalFormatting>
  <conditionalFormatting sqref="FXQ101">
    <cfRule type="duplicateValues" dxfId="0" priority="4107"/>
  </conditionalFormatting>
  <conditionalFormatting sqref="FXX101">
    <cfRule type="duplicateValues" dxfId="0" priority="4106"/>
  </conditionalFormatting>
  <conditionalFormatting sqref="FYE101">
    <cfRule type="duplicateValues" dxfId="0" priority="4105"/>
  </conditionalFormatting>
  <conditionalFormatting sqref="FYL101">
    <cfRule type="duplicateValues" dxfId="0" priority="4104"/>
  </conditionalFormatting>
  <conditionalFormatting sqref="FYS101">
    <cfRule type="duplicateValues" dxfId="0" priority="4103"/>
  </conditionalFormatting>
  <conditionalFormatting sqref="FYZ101">
    <cfRule type="duplicateValues" dxfId="0" priority="4102"/>
  </conditionalFormatting>
  <conditionalFormatting sqref="FZG101">
    <cfRule type="duplicateValues" dxfId="0" priority="4101"/>
  </conditionalFormatting>
  <conditionalFormatting sqref="FZN101">
    <cfRule type="duplicateValues" dxfId="0" priority="4100"/>
  </conditionalFormatting>
  <conditionalFormatting sqref="FZU101">
    <cfRule type="duplicateValues" dxfId="0" priority="4099"/>
  </conditionalFormatting>
  <conditionalFormatting sqref="GAB101">
    <cfRule type="duplicateValues" dxfId="0" priority="4098"/>
  </conditionalFormatting>
  <conditionalFormatting sqref="GAI101">
    <cfRule type="duplicateValues" dxfId="0" priority="4097"/>
  </conditionalFormatting>
  <conditionalFormatting sqref="GAP101">
    <cfRule type="duplicateValues" dxfId="0" priority="4096"/>
  </conditionalFormatting>
  <conditionalFormatting sqref="GAW101">
    <cfRule type="duplicateValues" dxfId="0" priority="4095"/>
  </conditionalFormatting>
  <conditionalFormatting sqref="GBD101">
    <cfRule type="duplicateValues" dxfId="0" priority="4094"/>
  </conditionalFormatting>
  <conditionalFormatting sqref="GBK101">
    <cfRule type="duplicateValues" dxfId="0" priority="4093"/>
  </conditionalFormatting>
  <conditionalFormatting sqref="GBR101">
    <cfRule type="duplicateValues" dxfId="0" priority="4092"/>
  </conditionalFormatting>
  <conditionalFormatting sqref="GBY101">
    <cfRule type="duplicateValues" dxfId="0" priority="4091"/>
  </conditionalFormatting>
  <conditionalFormatting sqref="GCF101">
    <cfRule type="duplicateValues" dxfId="0" priority="4090"/>
  </conditionalFormatting>
  <conditionalFormatting sqref="GCM101">
    <cfRule type="duplicateValues" dxfId="0" priority="4089"/>
  </conditionalFormatting>
  <conditionalFormatting sqref="GCT101">
    <cfRule type="duplicateValues" dxfId="0" priority="4088"/>
  </conditionalFormatting>
  <conditionalFormatting sqref="GDA101">
    <cfRule type="duplicateValues" dxfId="0" priority="4087"/>
  </conditionalFormatting>
  <conditionalFormatting sqref="GDH101">
    <cfRule type="duplicateValues" dxfId="0" priority="4086"/>
  </conditionalFormatting>
  <conditionalFormatting sqref="GDO101">
    <cfRule type="duplicateValues" dxfId="0" priority="4085"/>
  </conditionalFormatting>
  <conditionalFormatting sqref="GDV101">
    <cfRule type="duplicateValues" dxfId="0" priority="4084"/>
  </conditionalFormatting>
  <conditionalFormatting sqref="GEC101">
    <cfRule type="duplicateValues" dxfId="0" priority="4083"/>
  </conditionalFormatting>
  <conditionalFormatting sqref="GEJ101">
    <cfRule type="duplicateValues" dxfId="0" priority="4082"/>
  </conditionalFormatting>
  <conditionalFormatting sqref="GEQ101">
    <cfRule type="duplicateValues" dxfId="0" priority="4081"/>
  </conditionalFormatting>
  <conditionalFormatting sqref="GEX101">
    <cfRule type="duplicateValues" dxfId="0" priority="4080"/>
  </conditionalFormatting>
  <conditionalFormatting sqref="GFE101">
    <cfRule type="duplicateValues" dxfId="0" priority="4079"/>
  </conditionalFormatting>
  <conditionalFormatting sqref="GFL101">
    <cfRule type="duplicateValues" dxfId="0" priority="4078"/>
  </conditionalFormatting>
  <conditionalFormatting sqref="GFS101">
    <cfRule type="duplicateValues" dxfId="0" priority="4077"/>
  </conditionalFormatting>
  <conditionalFormatting sqref="GFZ101">
    <cfRule type="duplicateValues" dxfId="0" priority="4076"/>
  </conditionalFormatting>
  <conditionalFormatting sqref="GGG101">
    <cfRule type="duplicateValues" dxfId="0" priority="4075"/>
  </conditionalFormatting>
  <conditionalFormatting sqref="GGN101">
    <cfRule type="duplicateValues" dxfId="0" priority="4074"/>
  </conditionalFormatting>
  <conditionalFormatting sqref="GGU101">
    <cfRule type="duplicateValues" dxfId="0" priority="4073"/>
  </conditionalFormatting>
  <conditionalFormatting sqref="GHB101">
    <cfRule type="duplicateValues" dxfId="0" priority="4072"/>
  </conditionalFormatting>
  <conditionalFormatting sqref="GHI101">
    <cfRule type="duplicateValues" dxfId="0" priority="4071"/>
  </conditionalFormatting>
  <conditionalFormatting sqref="GHP101">
    <cfRule type="duplicateValues" dxfId="0" priority="4070"/>
  </conditionalFormatting>
  <conditionalFormatting sqref="GHW101">
    <cfRule type="duplicateValues" dxfId="0" priority="4069"/>
  </conditionalFormatting>
  <conditionalFormatting sqref="GID101">
    <cfRule type="duplicateValues" dxfId="0" priority="4068"/>
  </conditionalFormatting>
  <conditionalFormatting sqref="GIK101">
    <cfRule type="duplicateValues" dxfId="0" priority="4067"/>
  </conditionalFormatting>
  <conditionalFormatting sqref="GIR101">
    <cfRule type="duplicateValues" dxfId="0" priority="4066"/>
  </conditionalFormatting>
  <conditionalFormatting sqref="GIY101">
    <cfRule type="duplicateValues" dxfId="0" priority="4065"/>
  </conditionalFormatting>
  <conditionalFormatting sqref="GJF101">
    <cfRule type="duplicateValues" dxfId="0" priority="4064"/>
  </conditionalFormatting>
  <conditionalFormatting sqref="GJM101">
    <cfRule type="duplicateValues" dxfId="0" priority="4063"/>
  </conditionalFormatting>
  <conditionalFormatting sqref="GJT101">
    <cfRule type="duplicateValues" dxfId="0" priority="4062"/>
  </conditionalFormatting>
  <conditionalFormatting sqref="GKA101">
    <cfRule type="duplicateValues" dxfId="0" priority="4061"/>
  </conditionalFormatting>
  <conditionalFormatting sqref="GKH101">
    <cfRule type="duplicateValues" dxfId="0" priority="4060"/>
  </conditionalFormatting>
  <conditionalFormatting sqref="GKO101">
    <cfRule type="duplicateValues" dxfId="0" priority="4059"/>
  </conditionalFormatting>
  <conditionalFormatting sqref="GKV101">
    <cfRule type="duplicateValues" dxfId="0" priority="4058"/>
  </conditionalFormatting>
  <conditionalFormatting sqref="GLC101">
    <cfRule type="duplicateValues" dxfId="0" priority="4057"/>
  </conditionalFormatting>
  <conditionalFormatting sqref="GLJ101">
    <cfRule type="duplicateValues" dxfId="0" priority="4056"/>
  </conditionalFormatting>
  <conditionalFormatting sqref="GLQ101">
    <cfRule type="duplicateValues" dxfId="0" priority="4055"/>
  </conditionalFormatting>
  <conditionalFormatting sqref="GLX101">
    <cfRule type="duplicateValues" dxfId="0" priority="4054"/>
  </conditionalFormatting>
  <conditionalFormatting sqref="GME101">
    <cfRule type="duplicateValues" dxfId="0" priority="4053"/>
  </conditionalFormatting>
  <conditionalFormatting sqref="GML101">
    <cfRule type="duplicateValues" dxfId="0" priority="4052"/>
  </conditionalFormatting>
  <conditionalFormatting sqref="GMS101">
    <cfRule type="duplicateValues" dxfId="0" priority="4051"/>
  </conditionalFormatting>
  <conditionalFormatting sqref="GMZ101">
    <cfRule type="duplicateValues" dxfId="0" priority="4050"/>
  </conditionalFormatting>
  <conditionalFormatting sqref="GNG101">
    <cfRule type="duplicateValues" dxfId="0" priority="4049"/>
  </conditionalFormatting>
  <conditionalFormatting sqref="GNN101">
    <cfRule type="duplicateValues" dxfId="0" priority="4048"/>
  </conditionalFormatting>
  <conditionalFormatting sqref="GNU101">
    <cfRule type="duplicateValues" dxfId="0" priority="4047"/>
  </conditionalFormatting>
  <conditionalFormatting sqref="GOB101">
    <cfRule type="duplicateValues" dxfId="0" priority="4046"/>
  </conditionalFormatting>
  <conditionalFormatting sqref="GOI101">
    <cfRule type="duplicateValues" dxfId="0" priority="4045"/>
  </conditionalFormatting>
  <conditionalFormatting sqref="GOP101">
    <cfRule type="duplicateValues" dxfId="0" priority="4044"/>
  </conditionalFormatting>
  <conditionalFormatting sqref="GOW101">
    <cfRule type="duplicateValues" dxfId="0" priority="4043"/>
  </conditionalFormatting>
  <conditionalFormatting sqref="GPD101">
    <cfRule type="duplicateValues" dxfId="0" priority="4042"/>
  </conditionalFormatting>
  <conditionalFormatting sqref="GPK101">
    <cfRule type="duplicateValues" dxfId="0" priority="4041"/>
  </conditionalFormatting>
  <conditionalFormatting sqref="GPR101">
    <cfRule type="duplicateValues" dxfId="0" priority="4040"/>
  </conditionalFormatting>
  <conditionalFormatting sqref="GPY101">
    <cfRule type="duplicateValues" dxfId="0" priority="4039"/>
  </conditionalFormatting>
  <conditionalFormatting sqref="GQF101">
    <cfRule type="duplicateValues" dxfId="0" priority="4038"/>
  </conditionalFormatting>
  <conditionalFormatting sqref="GQM101">
    <cfRule type="duplicateValues" dxfId="0" priority="4037"/>
  </conditionalFormatting>
  <conditionalFormatting sqref="GQT101">
    <cfRule type="duplicateValues" dxfId="0" priority="4036"/>
  </conditionalFormatting>
  <conditionalFormatting sqref="GRA101">
    <cfRule type="duplicateValues" dxfId="0" priority="4035"/>
  </conditionalFormatting>
  <conditionalFormatting sqref="GRH101">
    <cfRule type="duplicateValues" dxfId="0" priority="4034"/>
  </conditionalFormatting>
  <conditionalFormatting sqref="GRO101">
    <cfRule type="duplicateValues" dxfId="0" priority="4033"/>
  </conditionalFormatting>
  <conditionalFormatting sqref="GRV101">
    <cfRule type="duplicateValues" dxfId="0" priority="4032"/>
  </conditionalFormatting>
  <conditionalFormatting sqref="GSC101">
    <cfRule type="duplicateValues" dxfId="0" priority="4031"/>
  </conditionalFormatting>
  <conditionalFormatting sqref="GSJ101">
    <cfRule type="duplicateValues" dxfId="0" priority="4030"/>
  </conditionalFormatting>
  <conditionalFormatting sqref="GSQ101">
    <cfRule type="duplicateValues" dxfId="0" priority="4029"/>
  </conditionalFormatting>
  <conditionalFormatting sqref="GSX101">
    <cfRule type="duplicateValues" dxfId="0" priority="4028"/>
  </conditionalFormatting>
  <conditionalFormatting sqref="GTE101">
    <cfRule type="duplicateValues" dxfId="0" priority="4027"/>
  </conditionalFormatting>
  <conditionalFormatting sqref="GTL101">
    <cfRule type="duplicateValues" dxfId="0" priority="4026"/>
  </conditionalFormatting>
  <conditionalFormatting sqref="GTS101">
    <cfRule type="duplicateValues" dxfId="0" priority="4025"/>
  </conditionalFormatting>
  <conditionalFormatting sqref="GTZ101">
    <cfRule type="duplicateValues" dxfId="0" priority="4024"/>
  </conditionalFormatting>
  <conditionalFormatting sqref="GUG101">
    <cfRule type="duplicateValues" dxfId="0" priority="4023"/>
  </conditionalFormatting>
  <conditionalFormatting sqref="GUN101">
    <cfRule type="duplicateValues" dxfId="0" priority="4022"/>
  </conditionalFormatting>
  <conditionalFormatting sqref="GUU101">
    <cfRule type="duplicateValues" dxfId="0" priority="4021"/>
  </conditionalFormatting>
  <conditionalFormatting sqref="GVB101">
    <cfRule type="duplicateValues" dxfId="0" priority="4020"/>
  </conditionalFormatting>
  <conditionalFormatting sqref="GVI101">
    <cfRule type="duplicateValues" dxfId="0" priority="4019"/>
  </conditionalFormatting>
  <conditionalFormatting sqref="GVP101">
    <cfRule type="duplicateValues" dxfId="0" priority="4018"/>
  </conditionalFormatting>
  <conditionalFormatting sqref="GVW101">
    <cfRule type="duplicateValues" dxfId="0" priority="4017"/>
  </conditionalFormatting>
  <conditionalFormatting sqref="GWD101">
    <cfRule type="duplicateValues" dxfId="0" priority="4016"/>
  </conditionalFormatting>
  <conditionalFormatting sqref="GWK101">
    <cfRule type="duplicateValues" dxfId="0" priority="4015"/>
  </conditionalFormatting>
  <conditionalFormatting sqref="GWR101">
    <cfRule type="duplicateValues" dxfId="0" priority="4014"/>
  </conditionalFormatting>
  <conditionalFormatting sqref="GWY101">
    <cfRule type="duplicateValues" dxfId="0" priority="4013"/>
  </conditionalFormatting>
  <conditionalFormatting sqref="GXF101">
    <cfRule type="duplicateValues" dxfId="0" priority="4012"/>
  </conditionalFormatting>
  <conditionalFormatting sqref="GXM101">
    <cfRule type="duplicateValues" dxfId="0" priority="4011"/>
  </conditionalFormatting>
  <conditionalFormatting sqref="GXT101">
    <cfRule type="duplicateValues" dxfId="0" priority="4010"/>
  </conditionalFormatting>
  <conditionalFormatting sqref="GYA101">
    <cfRule type="duplicateValues" dxfId="0" priority="4009"/>
  </conditionalFormatting>
  <conditionalFormatting sqref="GYH101">
    <cfRule type="duplicateValues" dxfId="0" priority="4008"/>
  </conditionalFormatting>
  <conditionalFormatting sqref="GYO101">
    <cfRule type="duplicateValues" dxfId="0" priority="4007"/>
  </conditionalFormatting>
  <conditionalFormatting sqref="GYV101">
    <cfRule type="duplicateValues" dxfId="0" priority="4006"/>
  </conditionalFormatting>
  <conditionalFormatting sqref="GZC101">
    <cfRule type="duplicateValues" dxfId="0" priority="4005"/>
  </conditionalFormatting>
  <conditionalFormatting sqref="GZJ101">
    <cfRule type="duplicateValues" dxfId="0" priority="4004"/>
  </conditionalFormatting>
  <conditionalFormatting sqref="GZQ101">
    <cfRule type="duplicateValues" dxfId="0" priority="4003"/>
  </conditionalFormatting>
  <conditionalFormatting sqref="GZX101">
    <cfRule type="duplicateValues" dxfId="0" priority="4002"/>
  </conditionalFormatting>
  <conditionalFormatting sqref="HAE101">
    <cfRule type="duplicateValues" dxfId="0" priority="4001"/>
  </conditionalFormatting>
  <conditionalFormatting sqref="HAL101">
    <cfRule type="duplicateValues" dxfId="0" priority="4000"/>
  </conditionalFormatting>
  <conditionalFormatting sqref="HAS101">
    <cfRule type="duplicateValues" dxfId="0" priority="3999"/>
  </conditionalFormatting>
  <conditionalFormatting sqref="HAZ101">
    <cfRule type="duplicateValues" dxfId="0" priority="3998"/>
  </conditionalFormatting>
  <conditionalFormatting sqref="HBG101">
    <cfRule type="duplicateValues" dxfId="0" priority="3997"/>
  </conditionalFormatting>
  <conditionalFormatting sqref="HBN101">
    <cfRule type="duplicateValues" dxfId="0" priority="3996"/>
  </conditionalFormatting>
  <conditionalFormatting sqref="HBU101">
    <cfRule type="duplicateValues" dxfId="0" priority="3995"/>
  </conditionalFormatting>
  <conditionalFormatting sqref="HCB101">
    <cfRule type="duplicateValues" dxfId="0" priority="3994"/>
  </conditionalFormatting>
  <conditionalFormatting sqref="HCI101">
    <cfRule type="duplicateValues" dxfId="0" priority="3993"/>
  </conditionalFormatting>
  <conditionalFormatting sqref="HCP101">
    <cfRule type="duplicateValues" dxfId="0" priority="3992"/>
  </conditionalFormatting>
  <conditionalFormatting sqref="HCW101">
    <cfRule type="duplicateValues" dxfId="0" priority="3991"/>
  </conditionalFormatting>
  <conditionalFormatting sqref="HDD101">
    <cfRule type="duplicateValues" dxfId="0" priority="3990"/>
  </conditionalFormatting>
  <conditionalFormatting sqref="HDK101">
    <cfRule type="duplicateValues" dxfId="0" priority="3989"/>
  </conditionalFormatting>
  <conditionalFormatting sqref="HDR101">
    <cfRule type="duplicateValues" dxfId="0" priority="3988"/>
  </conditionalFormatting>
  <conditionalFormatting sqref="HDY101">
    <cfRule type="duplicateValues" dxfId="0" priority="3987"/>
  </conditionalFormatting>
  <conditionalFormatting sqref="HEF101">
    <cfRule type="duplicateValues" dxfId="0" priority="3986"/>
  </conditionalFormatting>
  <conditionalFormatting sqref="HEM101">
    <cfRule type="duplicateValues" dxfId="0" priority="3985"/>
  </conditionalFormatting>
  <conditionalFormatting sqref="HET101">
    <cfRule type="duplicateValues" dxfId="0" priority="3984"/>
  </conditionalFormatting>
  <conditionalFormatting sqref="HFA101">
    <cfRule type="duplicateValues" dxfId="0" priority="3983"/>
  </conditionalFormatting>
  <conditionalFormatting sqref="HFH101">
    <cfRule type="duplicateValues" dxfId="0" priority="3982"/>
  </conditionalFormatting>
  <conditionalFormatting sqref="HFO101">
    <cfRule type="duplicateValues" dxfId="0" priority="3981"/>
  </conditionalFormatting>
  <conditionalFormatting sqref="HFV101">
    <cfRule type="duplicateValues" dxfId="0" priority="3980"/>
  </conditionalFormatting>
  <conditionalFormatting sqref="HGC101">
    <cfRule type="duplicateValues" dxfId="0" priority="3979"/>
  </conditionalFormatting>
  <conditionalFormatting sqref="HGJ101">
    <cfRule type="duplicateValues" dxfId="0" priority="3978"/>
  </conditionalFormatting>
  <conditionalFormatting sqref="HGQ101">
    <cfRule type="duplicateValues" dxfId="0" priority="3977"/>
  </conditionalFormatting>
  <conditionalFormatting sqref="HGX101">
    <cfRule type="duplicateValues" dxfId="0" priority="3976"/>
  </conditionalFormatting>
  <conditionalFormatting sqref="HHE101">
    <cfRule type="duplicateValues" dxfId="0" priority="3975"/>
  </conditionalFormatting>
  <conditionalFormatting sqref="HHL101">
    <cfRule type="duplicateValues" dxfId="0" priority="3974"/>
  </conditionalFormatting>
  <conditionalFormatting sqref="HHS101">
    <cfRule type="duplicateValues" dxfId="0" priority="3973"/>
  </conditionalFormatting>
  <conditionalFormatting sqref="HHZ101">
    <cfRule type="duplicateValues" dxfId="0" priority="3972"/>
  </conditionalFormatting>
  <conditionalFormatting sqref="HIG101">
    <cfRule type="duplicateValues" dxfId="0" priority="3971"/>
  </conditionalFormatting>
  <conditionalFormatting sqref="HIN101">
    <cfRule type="duplicateValues" dxfId="0" priority="3970"/>
  </conditionalFormatting>
  <conditionalFormatting sqref="HIU101">
    <cfRule type="duplicateValues" dxfId="0" priority="3969"/>
  </conditionalFormatting>
  <conditionalFormatting sqref="HJB101">
    <cfRule type="duplicateValues" dxfId="0" priority="3968"/>
  </conditionalFormatting>
  <conditionalFormatting sqref="HJI101">
    <cfRule type="duplicateValues" dxfId="0" priority="3967"/>
  </conditionalFormatting>
  <conditionalFormatting sqref="HJP101">
    <cfRule type="duplicateValues" dxfId="0" priority="3966"/>
  </conditionalFormatting>
  <conditionalFormatting sqref="HJW101">
    <cfRule type="duplicateValues" dxfId="0" priority="3965"/>
  </conditionalFormatting>
  <conditionalFormatting sqref="HKD101">
    <cfRule type="duplicateValues" dxfId="0" priority="3964"/>
  </conditionalFormatting>
  <conditionalFormatting sqref="HKK101">
    <cfRule type="duplicateValues" dxfId="0" priority="3963"/>
  </conditionalFormatting>
  <conditionalFormatting sqref="HKR101">
    <cfRule type="duplicateValues" dxfId="0" priority="3962"/>
  </conditionalFormatting>
  <conditionalFormatting sqref="HKY101">
    <cfRule type="duplicateValues" dxfId="0" priority="3961"/>
  </conditionalFormatting>
  <conditionalFormatting sqref="HLF101">
    <cfRule type="duplicateValues" dxfId="0" priority="3960"/>
  </conditionalFormatting>
  <conditionalFormatting sqref="HLM101">
    <cfRule type="duplicateValues" dxfId="0" priority="3959"/>
  </conditionalFormatting>
  <conditionalFormatting sqref="HLT101">
    <cfRule type="duplicateValues" dxfId="0" priority="3958"/>
  </conditionalFormatting>
  <conditionalFormatting sqref="HMA101">
    <cfRule type="duplicateValues" dxfId="0" priority="3957"/>
  </conditionalFormatting>
  <conditionalFormatting sqref="HMH101">
    <cfRule type="duplicateValues" dxfId="0" priority="3956"/>
  </conditionalFormatting>
  <conditionalFormatting sqref="HMO101">
    <cfRule type="duplicateValues" dxfId="0" priority="3955"/>
  </conditionalFormatting>
  <conditionalFormatting sqref="HMV101">
    <cfRule type="duplicateValues" dxfId="0" priority="3954"/>
  </conditionalFormatting>
  <conditionalFormatting sqref="HNC101">
    <cfRule type="duplicateValues" dxfId="0" priority="3953"/>
  </conditionalFormatting>
  <conditionalFormatting sqref="HNJ101">
    <cfRule type="duplicateValues" dxfId="0" priority="3952"/>
  </conditionalFormatting>
  <conditionalFormatting sqref="HNQ101">
    <cfRule type="duplicateValues" dxfId="0" priority="3951"/>
  </conditionalFormatting>
  <conditionalFormatting sqref="HNX101">
    <cfRule type="duplicateValues" dxfId="0" priority="3950"/>
  </conditionalFormatting>
  <conditionalFormatting sqref="HOE101">
    <cfRule type="duplicateValues" dxfId="0" priority="3949"/>
  </conditionalFormatting>
  <conditionalFormatting sqref="HOL101">
    <cfRule type="duplicateValues" dxfId="0" priority="3948"/>
  </conditionalFormatting>
  <conditionalFormatting sqref="HOS101">
    <cfRule type="duplicateValues" dxfId="0" priority="3947"/>
  </conditionalFormatting>
  <conditionalFormatting sqref="HOZ101">
    <cfRule type="duplicateValues" dxfId="0" priority="3946"/>
  </conditionalFormatting>
  <conditionalFormatting sqref="HPG101">
    <cfRule type="duplicateValues" dxfId="0" priority="3945"/>
  </conditionalFormatting>
  <conditionalFormatting sqref="HPN101">
    <cfRule type="duplicateValues" dxfId="0" priority="3944"/>
  </conditionalFormatting>
  <conditionalFormatting sqref="HPU101">
    <cfRule type="duplicateValues" dxfId="0" priority="3943"/>
  </conditionalFormatting>
  <conditionalFormatting sqref="HQB101">
    <cfRule type="duplicateValues" dxfId="0" priority="3942"/>
  </conditionalFormatting>
  <conditionalFormatting sqref="HQI101">
    <cfRule type="duplicateValues" dxfId="0" priority="3941"/>
  </conditionalFormatting>
  <conditionalFormatting sqref="HQP101">
    <cfRule type="duplicateValues" dxfId="0" priority="3940"/>
  </conditionalFormatting>
  <conditionalFormatting sqref="HQW101">
    <cfRule type="duplicateValues" dxfId="0" priority="3939"/>
  </conditionalFormatting>
  <conditionalFormatting sqref="HRD101">
    <cfRule type="duplicateValues" dxfId="0" priority="3938"/>
  </conditionalFormatting>
  <conditionalFormatting sqref="HRK101">
    <cfRule type="duplicateValues" dxfId="0" priority="3937"/>
  </conditionalFormatting>
  <conditionalFormatting sqref="HRR101">
    <cfRule type="duplicateValues" dxfId="0" priority="3936"/>
  </conditionalFormatting>
  <conditionalFormatting sqref="HRY101">
    <cfRule type="duplicateValues" dxfId="0" priority="3935"/>
  </conditionalFormatting>
  <conditionalFormatting sqref="HSF101">
    <cfRule type="duplicateValues" dxfId="0" priority="3934"/>
  </conditionalFormatting>
  <conditionalFormatting sqref="HSM101">
    <cfRule type="duplicateValues" dxfId="0" priority="3933"/>
  </conditionalFormatting>
  <conditionalFormatting sqref="HST101">
    <cfRule type="duplicateValues" dxfId="0" priority="3932"/>
  </conditionalFormatting>
  <conditionalFormatting sqref="HTA101">
    <cfRule type="duplicateValues" dxfId="0" priority="3931"/>
  </conditionalFormatting>
  <conditionalFormatting sqref="HTH101">
    <cfRule type="duplicateValues" dxfId="0" priority="3930"/>
  </conditionalFormatting>
  <conditionalFormatting sqref="HTO101">
    <cfRule type="duplicateValues" dxfId="0" priority="3929"/>
  </conditionalFormatting>
  <conditionalFormatting sqref="HTV101">
    <cfRule type="duplicateValues" dxfId="0" priority="3928"/>
  </conditionalFormatting>
  <conditionalFormatting sqref="HUC101">
    <cfRule type="duplicateValues" dxfId="0" priority="3927"/>
  </conditionalFormatting>
  <conditionalFormatting sqref="HUJ101">
    <cfRule type="duplicateValues" dxfId="0" priority="3926"/>
  </conditionalFormatting>
  <conditionalFormatting sqref="HUQ101">
    <cfRule type="duplicateValues" dxfId="0" priority="3925"/>
  </conditionalFormatting>
  <conditionalFormatting sqref="HUX101">
    <cfRule type="duplicateValues" dxfId="0" priority="3924"/>
  </conditionalFormatting>
  <conditionalFormatting sqref="HVE101">
    <cfRule type="duplicateValues" dxfId="0" priority="3923"/>
  </conditionalFormatting>
  <conditionalFormatting sqref="HVL101">
    <cfRule type="duplicateValues" dxfId="0" priority="3922"/>
  </conditionalFormatting>
  <conditionalFormatting sqref="HVS101">
    <cfRule type="duplicateValues" dxfId="0" priority="3921"/>
  </conditionalFormatting>
  <conditionalFormatting sqref="HVZ101">
    <cfRule type="duplicateValues" dxfId="0" priority="3920"/>
  </conditionalFormatting>
  <conditionalFormatting sqref="HWG101">
    <cfRule type="duplicateValues" dxfId="0" priority="3919"/>
  </conditionalFormatting>
  <conditionalFormatting sqref="HWN101">
    <cfRule type="duplicateValues" dxfId="0" priority="3918"/>
  </conditionalFormatting>
  <conditionalFormatting sqref="HWU101">
    <cfRule type="duplicateValues" dxfId="0" priority="3917"/>
  </conditionalFormatting>
  <conditionalFormatting sqref="HXB101">
    <cfRule type="duplicateValues" dxfId="0" priority="3916"/>
  </conditionalFormatting>
  <conditionalFormatting sqref="HXI101">
    <cfRule type="duplicateValues" dxfId="0" priority="3915"/>
  </conditionalFormatting>
  <conditionalFormatting sqref="HXP101">
    <cfRule type="duplicateValues" dxfId="0" priority="3914"/>
  </conditionalFormatting>
  <conditionalFormatting sqref="HXW101">
    <cfRule type="duplicateValues" dxfId="0" priority="3913"/>
  </conditionalFormatting>
  <conditionalFormatting sqref="HYD101">
    <cfRule type="duplicateValues" dxfId="0" priority="3912"/>
  </conditionalFormatting>
  <conditionalFormatting sqref="HYK101">
    <cfRule type="duplicateValues" dxfId="0" priority="3911"/>
  </conditionalFormatting>
  <conditionalFormatting sqref="HYR101">
    <cfRule type="duplicateValues" dxfId="0" priority="3910"/>
  </conditionalFormatting>
  <conditionalFormatting sqref="HYY101">
    <cfRule type="duplicateValues" dxfId="0" priority="3909"/>
  </conditionalFormatting>
  <conditionalFormatting sqref="HZF101">
    <cfRule type="duplicateValues" dxfId="0" priority="3908"/>
  </conditionalFormatting>
  <conditionalFormatting sqref="HZM101">
    <cfRule type="duplicateValues" dxfId="0" priority="3907"/>
  </conditionalFormatting>
  <conditionalFormatting sqref="HZT101">
    <cfRule type="duplicateValues" dxfId="0" priority="3906"/>
  </conditionalFormatting>
  <conditionalFormatting sqref="IAA101">
    <cfRule type="duplicateValues" dxfId="0" priority="3905"/>
  </conditionalFormatting>
  <conditionalFormatting sqref="IAH101">
    <cfRule type="duplicateValues" dxfId="0" priority="3904"/>
  </conditionalFormatting>
  <conditionalFormatting sqref="IAO101">
    <cfRule type="duplicateValues" dxfId="0" priority="3903"/>
  </conditionalFormatting>
  <conditionalFormatting sqref="IAV101">
    <cfRule type="duplicateValues" dxfId="0" priority="3902"/>
  </conditionalFormatting>
  <conditionalFormatting sqref="IBC101">
    <cfRule type="duplicateValues" dxfId="0" priority="3901"/>
  </conditionalFormatting>
  <conditionalFormatting sqref="IBJ101">
    <cfRule type="duplicateValues" dxfId="0" priority="3900"/>
  </conditionalFormatting>
  <conditionalFormatting sqref="IBQ101">
    <cfRule type="duplicateValues" dxfId="0" priority="3899"/>
  </conditionalFormatting>
  <conditionalFormatting sqref="IBX101">
    <cfRule type="duplicateValues" dxfId="0" priority="3898"/>
  </conditionalFormatting>
  <conditionalFormatting sqref="ICE101">
    <cfRule type="duplicateValues" dxfId="0" priority="3897"/>
  </conditionalFormatting>
  <conditionalFormatting sqref="ICL101">
    <cfRule type="duplicateValues" dxfId="0" priority="3896"/>
  </conditionalFormatting>
  <conditionalFormatting sqref="ICS101">
    <cfRule type="duplicateValues" dxfId="0" priority="3895"/>
  </conditionalFormatting>
  <conditionalFormatting sqref="ICZ101">
    <cfRule type="duplicateValues" dxfId="0" priority="3894"/>
  </conditionalFormatting>
  <conditionalFormatting sqref="IDG101">
    <cfRule type="duplicateValues" dxfId="0" priority="3893"/>
  </conditionalFormatting>
  <conditionalFormatting sqref="IDN101">
    <cfRule type="duplicateValues" dxfId="0" priority="3892"/>
  </conditionalFormatting>
  <conditionalFormatting sqref="IDU101">
    <cfRule type="duplicateValues" dxfId="0" priority="3891"/>
  </conditionalFormatting>
  <conditionalFormatting sqref="IEB101">
    <cfRule type="duplicateValues" dxfId="0" priority="3890"/>
  </conditionalFormatting>
  <conditionalFormatting sqref="IEI101">
    <cfRule type="duplicateValues" dxfId="0" priority="3889"/>
  </conditionalFormatting>
  <conditionalFormatting sqref="IEP101">
    <cfRule type="duplicateValues" dxfId="0" priority="3888"/>
  </conditionalFormatting>
  <conditionalFormatting sqref="IEW101">
    <cfRule type="duplicateValues" dxfId="0" priority="3887"/>
  </conditionalFormatting>
  <conditionalFormatting sqref="IFD101">
    <cfRule type="duplicateValues" dxfId="0" priority="3886"/>
  </conditionalFormatting>
  <conditionalFormatting sqref="IFK101">
    <cfRule type="duplicateValues" dxfId="0" priority="3885"/>
  </conditionalFormatting>
  <conditionalFormatting sqref="IFR101">
    <cfRule type="duplicateValues" dxfId="0" priority="3884"/>
  </conditionalFormatting>
  <conditionalFormatting sqref="IFY101">
    <cfRule type="duplicateValues" dxfId="0" priority="3883"/>
  </conditionalFormatting>
  <conditionalFormatting sqref="IGF101">
    <cfRule type="duplicateValues" dxfId="0" priority="3882"/>
  </conditionalFormatting>
  <conditionalFormatting sqref="IGM101">
    <cfRule type="duplicateValues" dxfId="0" priority="3881"/>
  </conditionalFormatting>
  <conditionalFormatting sqref="IGT101">
    <cfRule type="duplicateValues" dxfId="0" priority="3880"/>
  </conditionalFormatting>
  <conditionalFormatting sqref="IHA101">
    <cfRule type="duplicateValues" dxfId="0" priority="3879"/>
  </conditionalFormatting>
  <conditionalFormatting sqref="IHH101">
    <cfRule type="duplicateValues" dxfId="0" priority="3878"/>
  </conditionalFormatting>
  <conditionalFormatting sqref="IHO101">
    <cfRule type="duplicateValues" dxfId="0" priority="3877"/>
  </conditionalFormatting>
  <conditionalFormatting sqref="IHV101">
    <cfRule type="duplicateValues" dxfId="0" priority="3876"/>
  </conditionalFormatting>
  <conditionalFormatting sqref="IIC101">
    <cfRule type="duplicateValues" dxfId="0" priority="3875"/>
  </conditionalFormatting>
  <conditionalFormatting sqref="IIJ101">
    <cfRule type="duplicateValues" dxfId="0" priority="3874"/>
  </conditionalFormatting>
  <conditionalFormatting sqref="IIQ101">
    <cfRule type="duplicateValues" dxfId="0" priority="3873"/>
  </conditionalFormatting>
  <conditionalFormatting sqref="IIX101">
    <cfRule type="duplicateValues" dxfId="0" priority="3872"/>
  </conditionalFormatting>
  <conditionalFormatting sqref="IJE101">
    <cfRule type="duplicateValues" dxfId="0" priority="3871"/>
  </conditionalFormatting>
  <conditionalFormatting sqref="IJL101">
    <cfRule type="duplicateValues" dxfId="0" priority="3870"/>
  </conditionalFormatting>
  <conditionalFormatting sqref="IJS101">
    <cfRule type="duplicateValues" dxfId="0" priority="3869"/>
  </conditionalFormatting>
  <conditionalFormatting sqref="IJZ101">
    <cfRule type="duplicateValues" dxfId="0" priority="3868"/>
  </conditionalFormatting>
  <conditionalFormatting sqref="IKG101">
    <cfRule type="duplicateValues" dxfId="0" priority="3867"/>
  </conditionalFormatting>
  <conditionalFormatting sqref="IKN101">
    <cfRule type="duplicateValues" dxfId="0" priority="3866"/>
  </conditionalFormatting>
  <conditionalFormatting sqref="IKU101">
    <cfRule type="duplicateValues" dxfId="0" priority="3865"/>
  </conditionalFormatting>
  <conditionalFormatting sqref="ILB101">
    <cfRule type="duplicateValues" dxfId="0" priority="3864"/>
  </conditionalFormatting>
  <conditionalFormatting sqref="ILI101">
    <cfRule type="duplicateValues" dxfId="0" priority="3863"/>
  </conditionalFormatting>
  <conditionalFormatting sqref="ILP101">
    <cfRule type="duplicateValues" dxfId="0" priority="3862"/>
  </conditionalFormatting>
  <conditionalFormatting sqref="ILW101">
    <cfRule type="duplicateValues" dxfId="0" priority="3861"/>
  </conditionalFormatting>
  <conditionalFormatting sqref="IMD101">
    <cfRule type="duplicateValues" dxfId="0" priority="3860"/>
  </conditionalFormatting>
  <conditionalFormatting sqref="IMK101">
    <cfRule type="duplicateValues" dxfId="0" priority="3859"/>
  </conditionalFormatting>
  <conditionalFormatting sqref="IMR101">
    <cfRule type="duplicateValues" dxfId="0" priority="3858"/>
  </conditionalFormatting>
  <conditionalFormatting sqref="IMY101">
    <cfRule type="duplicateValues" dxfId="0" priority="3857"/>
  </conditionalFormatting>
  <conditionalFormatting sqref="INF101">
    <cfRule type="duplicateValues" dxfId="0" priority="3856"/>
  </conditionalFormatting>
  <conditionalFormatting sqref="INM101">
    <cfRule type="duplicateValues" dxfId="0" priority="3855"/>
  </conditionalFormatting>
  <conditionalFormatting sqref="INT101">
    <cfRule type="duplicateValues" dxfId="0" priority="3854"/>
  </conditionalFormatting>
  <conditionalFormatting sqref="IOA101">
    <cfRule type="duplicateValues" dxfId="0" priority="3853"/>
  </conditionalFormatting>
  <conditionalFormatting sqref="IOH101">
    <cfRule type="duplicateValues" dxfId="0" priority="3852"/>
  </conditionalFormatting>
  <conditionalFormatting sqref="IOO101">
    <cfRule type="duplicateValues" dxfId="0" priority="3851"/>
  </conditionalFormatting>
  <conditionalFormatting sqref="IOV101">
    <cfRule type="duplicateValues" dxfId="0" priority="3850"/>
  </conditionalFormatting>
  <conditionalFormatting sqref="IPC101">
    <cfRule type="duplicateValues" dxfId="0" priority="3849"/>
  </conditionalFormatting>
  <conditionalFormatting sqref="IPJ101">
    <cfRule type="duplicateValues" dxfId="0" priority="3848"/>
  </conditionalFormatting>
  <conditionalFormatting sqref="IPQ101">
    <cfRule type="duplicateValues" dxfId="0" priority="3847"/>
  </conditionalFormatting>
  <conditionalFormatting sqref="IPX101">
    <cfRule type="duplicateValues" dxfId="0" priority="3846"/>
  </conditionalFormatting>
  <conditionalFormatting sqref="IQE101">
    <cfRule type="duplicateValues" dxfId="0" priority="3845"/>
  </conditionalFormatting>
  <conditionalFormatting sqref="IQL101">
    <cfRule type="duplicateValues" dxfId="0" priority="3844"/>
  </conditionalFormatting>
  <conditionalFormatting sqref="IQS101">
    <cfRule type="duplicateValues" dxfId="0" priority="3843"/>
  </conditionalFormatting>
  <conditionalFormatting sqref="IQZ101">
    <cfRule type="duplicateValues" dxfId="0" priority="3842"/>
  </conditionalFormatting>
  <conditionalFormatting sqref="IRG101">
    <cfRule type="duplicateValues" dxfId="0" priority="3841"/>
  </conditionalFormatting>
  <conditionalFormatting sqref="IRN101">
    <cfRule type="duplicateValues" dxfId="0" priority="3840"/>
  </conditionalFormatting>
  <conditionalFormatting sqref="IRU101">
    <cfRule type="duplicateValues" dxfId="0" priority="3839"/>
  </conditionalFormatting>
  <conditionalFormatting sqref="ISB101">
    <cfRule type="duplicateValues" dxfId="0" priority="3838"/>
  </conditionalFormatting>
  <conditionalFormatting sqref="ISI101">
    <cfRule type="duplicateValues" dxfId="0" priority="3837"/>
  </conditionalFormatting>
  <conditionalFormatting sqref="ISP101">
    <cfRule type="duplicateValues" dxfId="0" priority="3836"/>
  </conditionalFormatting>
  <conditionalFormatting sqref="ISW101">
    <cfRule type="duplicateValues" dxfId="0" priority="3835"/>
  </conditionalFormatting>
  <conditionalFormatting sqref="ITD101">
    <cfRule type="duplicateValues" dxfId="0" priority="3834"/>
  </conditionalFormatting>
  <conditionalFormatting sqref="ITK101">
    <cfRule type="duplicateValues" dxfId="0" priority="3833"/>
  </conditionalFormatting>
  <conditionalFormatting sqref="ITR101">
    <cfRule type="duplicateValues" dxfId="0" priority="3832"/>
  </conditionalFormatting>
  <conditionalFormatting sqref="ITY101">
    <cfRule type="duplicateValues" dxfId="0" priority="3831"/>
  </conditionalFormatting>
  <conditionalFormatting sqref="IUF101">
    <cfRule type="duplicateValues" dxfId="0" priority="3830"/>
  </conditionalFormatting>
  <conditionalFormatting sqref="IUM101">
    <cfRule type="duplicateValues" dxfId="0" priority="3829"/>
  </conditionalFormatting>
  <conditionalFormatting sqref="IUT101">
    <cfRule type="duplicateValues" dxfId="0" priority="3828"/>
  </conditionalFormatting>
  <conditionalFormatting sqref="IVA101">
    <cfRule type="duplicateValues" dxfId="0" priority="3827"/>
  </conditionalFormatting>
  <conditionalFormatting sqref="IVH101">
    <cfRule type="duplicateValues" dxfId="0" priority="3826"/>
  </conditionalFormatting>
  <conditionalFormatting sqref="IVO101">
    <cfRule type="duplicateValues" dxfId="0" priority="3825"/>
  </conditionalFormatting>
  <conditionalFormatting sqref="IVV101">
    <cfRule type="duplicateValues" dxfId="0" priority="3824"/>
  </conditionalFormatting>
  <conditionalFormatting sqref="IWC101">
    <cfRule type="duplicateValues" dxfId="0" priority="3823"/>
  </conditionalFormatting>
  <conditionalFormatting sqref="IWJ101">
    <cfRule type="duplicateValues" dxfId="0" priority="3822"/>
  </conditionalFormatting>
  <conditionalFormatting sqref="IWQ101">
    <cfRule type="duplicateValues" dxfId="0" priority="3821"/>
  </conditionalFormatting>
  <conditionalFormatting sqref="IWX101">
    <cfRule type="duplicateValues" dxfId="0" priority="3820"/>
  </conditionalFormatting>
  <conditionalFormatting sqref="IXE101">
    <cfRule type="duplicateValues" dxfId="0" priority="3819"/>
  </conditionalFormatting>
  <conditionalFormatting sqref="IXL101">
    <cfRule type="duplicateValues" dxfId="0" priority="3818"/>
  </conditionalFormatting>
  <conditionalFormatting sqref="IXS101">
    <cfRule type="duplicateValues" dxfId="0" priority="3817"/>
  </conditionalFormatting>
  <conditionalFormatting sqref="IXZ101">
    <cfRule type="duplicateValues" dxfId="0" priority="3816"/>
  </conditionalFormatting>
  <conditionalFormatting sqref="IYG101">
    <cfRule type="duplicateValues" dxfId="0" priority="3815"/>
  </conditionalFormatting>
  <conditionalFormatting sqref="IYN101">
    <cfRule type="duplicateValues" dxfId="0" priority="3814"/>
  </conditionalFormatting>
  <conditionalFormatting sqref="IYU101">
    <cfRule type="duplicateValues" dxfId="0" priority="3813"/>
  </conditionalFormatting>
  <conditionalFormatting sqref="IZB101">
    <cfRule type="duplicateValues" dxfId="0" priority="3812"/>
  </conditionalFormatting>
  <conditionalFormatting sqref="IZI101">
    <cfRule type="duplicateValues" dxfId="0" priority="3811"/>
  </conditionalFormatting>
  <conditionalFormatting sqref="IZP101">
    <cfRule type="duplicateValues" dxfId="0" priority="3810"/>
  </conditionalFormatting>
  <conditionalFormatting sqref="IZW101">
    <cfRule type="duplicateValues" dxfId="0" priority="3809"/>
  </conditionalFormatting>
  <conditionalFormatting sqref="JAD101">
    <cfRule type="duplicateValues" dxfId="0" priority="3808"/>
  </conditionalFormatting>
  <conditionalFormatting sqref="JAK101">
    <cfRule type="duplicateValues" dxfId="0" priority="3807"/>
  </conditionalFormatting>
  <conditionalFormatting sqref="JAR101">
    <cfRule type="duplicateValues" dxfId="0" priority="3806"/>
  </conditionalFormatting>
  <conditionalFormatting sqref="JAY101">
    <cfRule type="duplicateValues" dxfId="0" priority="3805"/>
  </conditionalFormatting>
  <conditionalFormatting sqref="JBF101">
    <cfRule type="duplicateValues" dxfId="0" priority="3804"/>
  </conditionalFormatting>
  <conditionalFormatting sqref="JBM101">
    <cfRule type="duplicateValues" dxfId="0" priority="3803"/>
  </conditionalFormatting>
  <conditionalFormatting sqref="JBT101">
    <cfRule type="duplicateValues" dxfId="0" priority="3802"/>
  </conditionalFormatting>
  <conditionalFormatting sqref="JCA101">
    <cfRule type="duplicateValues" dxfId="0" priority="3801"/>
  </conditionalFormatting>
  <conditionalFormatting sqref="JCH101">
    <cfRule type="duplicateValues" dxfId="0" priority="3800"/>
  </conditionalFormatting>
  <conditionalFormatting sqref="JCO101">
    <cfRule type="duplicateValues" dxfId="0" priority="3799"/>
  </conditionalFormatting>
  <conditionalFormatting sqref="JCV101">
    <cfRule type="duplicateValues" dxfId="0" priority="3798"/>
  </conditionalFormatting>
  <conditionalFormatting sqref="JDC101">
    <cfRule type="duplicateValues" dxfId="0" priority="3797"/>
  </conditionalFormatting>
  <conditionalFormatting sqref="JDJ101">
    <cfRule type="duplicateValues" dxfId="0" priority="3796"/>
  </conditionalFormatting>
  <conditionalFormatting sqref="JDQ101">
    <cfRule type="duplicateValues" dxfId="0" priority="3795"/>
  </conditionalFormatting>
  <conditionalFormatting sqref="JDX101">
    <cfRule type="duplicateValues" dxfId="0" priority="3794"/>
  </conditionalFormatting>
  <conditionalFormatting sqref="JEE101">
    <cfRule type="duplicateValues" dxfId="0" priority="3793"/>
  </conditionalFormatting>
  <conditionalFormatting sqref="JEL101">
    <cfRule type="duplicateValues" dxfId="0" priority="3792"/>
  </conditionalFormatting>
  <conditionalFormatting sqref="JES101">
    <cfRule type="duplicateValues" dxfId="0" priority="3791"/>
  </conditionalFormatting>
  <conditionalFormatting sqref="JEZ101">
    <cfRule type="duplicateValues" dxfId="0" priority="3790"/>
  </conditionalFormatting>
  <conditionalFormatting sqref="JFG101">
    <cfRule type="duplicateValues" dxfId="0" priority="3789"/>
  </conditionalFormatting>
  <conditionalFormatting sqref="JFN101">
    <cfRule type="duplicateValues" dxfId="0" priority="3788"/>
  </conditionalFormatting>
  <conditionalFormatting sqref="JFU101">
    <cfRule type="duplicateValues" dxfId="0" priority="3787"/>
  </conditionalFormatting>
  <conditionalFormatting sqref="JGB101">
    <cfRule type="duplicateValues" dxfId="0" priority="3786"/>
  </conditionalFormatting>
  <conditionalFormatting sqref="JGI101">
    <cfRule type="duplicateValues" dxfId="0" priority="3785"/>
  </conditionalFormatting>
  <conditionalFormatting sqref="JGP101">
    <cfRule type="duplicateValues" dxfId="0" priority="3784"/>
  </conditionalFormatting>
  <conditionalFormatting sqref="JGW101">
    <cfRule type="duplicateValues" dxfId="0" priority="3783"/>
  </conditionalFormatting>
  <conditionalFormatting sqref="JHD101">
    <cfRule type="duplicateValues" dxfId="0" priority="3782"/>
  </conditionalFormatting>
  <conditionalFormatting sqref="JHK101">
    <cfRule type="duplicateValues" dxfId="0" priority="3781"/>
  </conditionalFormatting>
  <conditionalFormatting sqref="JHR101">
    <cfRule type="duplicateValues" dxfId="0" priority="3780"/>
  </conditionalFormatting>
  <conditionalFormatting sqref="JHY101">
    <cfRule type="duplicateValues" dxfId="0" priority="3779"/>
  </conditionalFormatting>
  <conditionalFormatting sqref="JIF101">
    <cfRule type="duplicateValues" dxfId="0" priority="3778"/>
  </conditionalFormatting>
  <conditionalFormatting sqref="JIM101">
    <cfRule type="duplicateValues" dxfId="0" priority="3777"/>
  </conditionalFormatting>
  <conditionalFormatting sqref="JIT101">
    <cfRule type="duplicateValues" dxfId="0" priority="3776"/>
  </conditionalFormatting>
  <conditionalFormatting sqref="JJA101">
    <cfRule type="duplicateValues" dxfId="0" priority="3775"/>
  </conditionalFormatting>
  <conditionalFormatting sqref="JJH101">
    <cfRule type="duplicateValues" dxfId="0" priority="3774"/>
  </conditionalFormatting>
  <conditionalFormatting sqref="JJO101">
    <cfRule type="duplicateValues" dxfId="0" priority="3773"/>
  </conditionalFormatting>
  <conditionalFormatting sqref="JJV101">
    <cfRule type="duplicateValues" dxfId="0" priority="3772"/>
  </conditionalFormatting>
  <conditionalFormatting sqref="JKC101">
    <cfRule type="duplicateValues" dxfId="0" priority="3771"/>
  </conditionalFormatting>
  <conditionalFormatting sqref="JKJ101">
    <cfRule type="duplicateValues" dxfId="0" priority="3770"/>
  </conditionalFormatting>
  <conditionalFormatting sqref="JKQ101">
    <cfRule type="duplicateValues" dxfId="0" priority="3769"/>
  </conditionalFormatting>
  <conditionalFormatting sqref="JKX101">
    <cfRule type="duplicateValues" dxfId="0" priority="3768"/>
  </conditionalFormatting>
  <conditionalFormatting sqref="JLE101">
    <cfRule type="duplicateValues" dxfId="0" priority="3767"/>
  </conditionalFormatting>
  <conditionalFormatting sqref="JLL101">
    <cfRule type="duplicateValues" dxfId="0" priority="3766"/>
  </conditionalFormatting>
  <conditionalFormatting sqref="JLS101">
    <cfRule type="duplicateValues" dxfId="0" priority="3765"/>
  </conditionalFormatting>
  <conditionalFormatting sqref="JLZ101">
    <cfRule type="duplicateValues" dxfId="0" priority="3764"/>
  </conditionalFormatting>
  <conditionalFormatting sqref="JMG101">
    <cfRule type="duplicateValues" dxfId="0" priority="3763"/>
  </conditionalFormatting>
  <conditionalFormatting sqref="JMN101">
    <cfRule type="duplicateValues" dxfId="0" priority="3762"/>
  </conditionalFormatting>
  <conditionalFormatting sqref="JMU101">
    <cfRule type="duplicateValues" dxfId="0" priority="3761"/>
  </conditionalFormatting>
  <conditionalFormatting sqref="JNB101">
    <cfRule type="duplicateValues" dxfId="0" priority="3760"/>
  </conditionalFormatting>
  <conditionalFormatting sqref="JNI101">
    <cfRule type="duplicateValues" dxfId="0" priority="3759"/>
  </conditionalFormatting>
  <conditionalFormatting sqref="JNP101">
    <cfRule type="duplicateValues" dxfId="0" priority="3758"/>
  </conditionalFormatting>
  <conditionalFormatting sqref="JNW101">
    <cfRule type="duplicateValues" dxfId="0" priority="3757"/>
  </conditionalFormatting>
  <conditionalFormatting sqref="JOD101">
    <cfRule type="duplicateValues" dxfId="0" priority="3756"/>
  </conditionalFormatting>
  <conditionalFormatting sqref="JOK101">
    <cfRule type="duplicateValues" dxfId="0" priority="3755"/>
  </conditionalFormatting>
  <conditionalFormatting sqref="JOR101">
    <cfRule type="duplicateValues" dxfId="0" priority="3754"/>
  </conditionalFormatting>
  <conditionalFormatting sqref="JOY101">
    <cfRule type="duplicateValues" dxfId="0" priority="3753"/>
  </conditionalFormatting>
  <conditionalFormatting sqref="JPF101">
    <cfRule type="duplicateValues" dxfId="0" priority="3752"/>
  </conditionalFormatting>
  <conditionalFormatting sqref="JPM101">
    <cfRule type="duplicateValues" dxfId="0" priority="3751"/>
  </conditionalFormatting>
  <conditionalFormatting sqref="JPT101">
    <cfRule type="duplicateValues" dxfId="0" priority="3750"/>
  </conditionalFormatting>
  <conditionalFormatting sqref="JQA101">
    <cfRule type="duplicateValues" dxfId="0" priority="3749"/>
  </conditionalFormatting>
  <conditionalFormatting sqref="JQH101">
    <cfRule type="duplicateValues" dxfId="0" priority="3748"/>
  </conditionalFormatting>
  <conditionalFormatting sqref="JQO101">
    <cfRule type="duplicateValues" dxfId="0" priority="3747"/>
  </conditionalFormatting>
  <conditionalFormatting sqref="JQV101">
    <cfRule type="duplicateValues" dxfId="0" priority="3746"/>
  </conditionalFormatting>
  <conditionalFormatting sqref="JRC101">
    <cfRule type="duplicateValues" dxfId="0" priority="3745"/>
  </conditionalFormatting>
  <conditionalFormatting sqref="JRJ101">
    <cfRule type="duplicateValues" dxfId="0" priority="3744"/>
  </conditionalFormatting>
  <conditionalFormatting sqref="JRQ101">
    <cfRule type="duplicateValues" dxfId="0" priority="3743"/>
  </conditionalFormatting>
  <conditionalFormatting sqref="JRX101">
    <cfRule type="duplicateValues" dxfId="0" priority="3742"/>
  </conditionalFormatting>
  <conditionalFormatting sqref="JSE101">
    <cfRule type="duplicateValues" dxfId="0" priority="3741"/>
  </conditionalFormatting>
  <conditionalFormatting sqref="JSL101">
    <cfRule type="duplicateValues" dxfId="0" priority="3740"/>
  </conditionalFormatting>
  <conditionalFormatting sqref="JSS101">
    <cfRule type="duplicateValues" dxfId="0" priority="3739"/>
  </conditionalFormatting>
  <conditionalFormatting sqref="JSZ101">
    <cfRule type="duplicateValues" dxfId="0" priority="3738"/>
  </conditionalFormatting>
  <conditionalFormatting sqref="JTG101">
    <cfRule type="duplicateValues" dxfId="0" priority="3737"/>
  </conditionalFormatting>
  <conditionalFormatting sqref="JTN101">
    <cfRule type="duplicateValues" dxfId="0" priority="3736"/>
  </conditionalFormatting>
  <conditionalFormatting sqref="JTU101">
    <cfRule type="duplicateValues" dxfId="0" priority="3735"/>
  </conditionalFormatting>
  <conditionalFormatting sqref="JUB101">
    <cfRule type="duplicateValues" dxfId="0" priority="3734"/>
  </conditionalFormatting>
  <conditionalFormatting sqref="JUI101">
    <cfRule type="duplicateValues" dxfId="0" priority="3733"/>
  </conditionalFormatting>
  <conditionalFormatting sqref="JUP101">
    <cfRule type="duplicateValues" dxfId="0" priority="3732"/>
  </conditionalFormatting>
  <conditionalFormatting sqref="JUW101">
    <cfRule type="duplicateValues" dxfId="0" priority="3731"/>
  </conditionalFormatting>
  <conditionalFormatting sqref="JVD101">
    <cfRule type="duplicateValues" dxfId="0" priority="3730"/>
  </conditionalFormatting>
  <conditionalFormatting sqref="JVK101">
    <cfRule type="duplicateValues" dxfId="0" priority="3729"/>
  </conditionalFormatting>
  <conditionalFormatting sqref="JVR101">
    <cfRule type="duplicateValues" dxfId="0" priority="3728"/>
  </conditionalFormatting>
  <conditionalFormatting sqref="JVY101">
    <cfRule type="duplicateValues" dxfId="0" priority="3727"/>
  </conditionalFormatting>
  <conditionalFormatting sqref="JWF101">
    <cfRule type="duplicateValues" dxfId="0" priority="3726"/>
  </conditionalFormatting>
  <conditionalFormatting sqref="JWM101">
    <cfRule type="duplicateValues" dxfId="0" priority="3725"/>
  </conditionalFormatting>
  <conditionalFormatting sqref="JWT101">
    <cfRule type="duplicateValues" dxfId="0" priority="3724"/>
  </conditionalFormatting>
  <conditionalFormatting sqref="JXA101">
    <cfRule type="duplicateValues" dxfId="0" priority="3723"/>
  </conditionalFormatting>
  <conditionalFormatting sqref="JXH101">
    <cfRule type="duplicateValues" dxfId="0" priority="3722"/>
  </conditionalFormatting>
  <conditionalFormatting sqref="JXO101">
    <cfRule type="duplicateValues" dxfId="0" priority="3721"/>
  </conditionalFormatting>
  <conditionalFormatting sqref="JXV101">
    <cfRule type="duplicateValues" dxfId="0" priority="3720"/>
  </conditionalFormatting>
  <conditionalFormatting sqref="JYC101">
    <cfRule type="duplicateValues" dxfId="0" priority="3719"/>
  </conditionalFormatting>
  <conditionalFormatting sqref="JYJ101">
    <cfRule type="duplicateValues" dxfId="0" priority="3718"/>
  </conditionalFormatting>
  <conditionalFormatting sqref="JYQ101">
    <cfRule type="duplicateValues" dxfId="0" priority="3717"/>
  </conditionalFormatting>
  <conditionalFormatting sqref="JYX101">
    <cfRule type="duplicateValues" dxfId="0" priority="3716"/>
  </conditionalFormatting>
  <conditionalFormatting sqref="JZE101">
    <cfRule type="duplicateValues" dxfId="0" priority="3715"/>
  </conditionalFormatting>
  <conditionalFormatting sqref="JZL101">
    <cfRule type="duplicateValues" dxfId="0" priority="3714"/>
  </conditionalFormatting>
  <conditionalFormatting sqref="JZS101">
    <cfRule type="duplicateValues" dxfId="0" priority="3713"/>
  </conditionalFormatting>
  <conditionalFormatting sqref="JZZ101">
    <cfRule type="duplicateValues" dxfId="0" priority="3712"/>
  </conditionalFormatting>
  <conditionalFormatting sqref="KAG101">
    <cfRule type="duplicateValues" dxfId="0" priority="3711"/>
  </conditionalFormatting>
  <conditionalFormatting sqref="KAN101">
    <cfRule type="duplicateValues" dxfId="0" priority="3710"/>
  </conditionalFormatting>
  <conditionalFormatting sqref="KAU101">
    <cfRule type="duplicateValues" dxfId="0" priority="3709"/>
  </conditionalFormatting>
  <conditionalFormatting sqref="KBB101">
    <cfRule type="duplicateValues" dxfId="0" priority="3708"/>
  </conditionalFormatting>
  <conditionalFormatting sqref="KBI101">
    <cfRule type="duplicateValues" dxfId="0" priority="3707"/>
  </conditionalFormatting>
  <conditionalFormatting sqref="KBP101">
    <cfRule type="duplicateValues" dxfId="0" priority="3706"/>
  </conditionalFormatting>
  <conditionalFormatting sqref="KBW101">
    <cfRule type="duplicateValues" dxfId="0" priority="3705"/>
  </conditionalFormatting>
  <conditionalFormatting sqref="KCD101">
    <cfRule type="duplicateValues" dxfId="0" priority="3704"/>
  </conditionalFormatting>
  <conditionalFormatting sqref="KCK101">
    <cfRule type="duplicateValues" dxfId="0" priority="3703"/>
  </conditionalFormatting>
  <conditionalFormatting sqref="KCR101">
    <cfRule type="duplicateValues" dxfId="0" priority="3702"/>
  </conditionalFormatting>
  <conditionalFormatting sqref="KCY101">
    <cfRule type="duplicateValues" dxfId="0" priority="3701"/>
  </conditionalFormatting>
  <conditionalFormatting sqref="KDF101">
    <cfRule type="duplicateValues" dxfId="0" priority="3700"/>
  </conditionalFormatting>
  <conditionalFormatting sqref="KDM101">
    <cfRule type="duplicateValues" dxfId="0" priority="3699"/>
  </conditionalFormatting>
  <conditionalFormatting sqref="KDT101">
    <cfRule type="duplicateValues" dxfId="0" priority="3698"/>
  </conditionalFormatting>
  <conditionalFormatting sqref="KEA101">
    <cfRule type="duplicateValues" dxfId="0" priority="3697"/>
  </conditionalFormatting>
  <conditionalFormatting sqref="KEH101">
    <cfRule type="duplicateValues" dxfId="0" priority="3696"/>
  </conditionalFormatting>
  <conditionalFormatting sqref="KEO101">
    <cfRule type="duplicateValues" dxfId="0" priority="3695"/>
  </conditionalFormatting>
  <conditionalFormatting sqref="KEV101">
    <cfRule type="duplicateValues" dxfId="0" priority="3694"/>
  </conditionalFormatting>
  <conditionalFormatting sqref="KFC101">
    <cfRule type="duplicateValues" dxfId="0" priority="3693"/>
  </conditionalFormatting>
  <conditionalFormatting sqref="KFJ101">
    <cfRule type="duplicateValues" dxfId="0" priority="3692"/>
  </conditionalFormatting>
  <conditionalFormatting sqref="KFQ101">
    <cfRule type="duplicateValues" dxfId="0" priority="3691"/>
  </conditionalFormatting>
  <conditionalFormatting sqref="KFX101">
    <cfRule type="duplicateValues" dxfId="0" priority="3690"/>
  </conditionalFormatting>
  <conditionalFormatting sqref="KGE101">
    <cfRule type="duplicateValues" dxfId="0" priority="3689"/>
  </conditionalFormatting>
  <conditionalFormatting sqref="KGL101">
    <cfRule type="duplicateValues" dxfId="0" priority="3688"/>
  </conditionalFormatting>
  <conditionalFormatting sqref="KGS101">
    <cfRule type="duplicateValues" dxfId="0" priority="3687"/>
  </conditionalFormatting>
  <conditionalFormatting sqref="KGZ101">
    <cfRule type="duplicateValues" dxfId="0" priority="3686"/>
  </conditionalFormatting>
  <conditionalFormatting sqref="KHG101">
    <cfRule type="duplicateValues" dxfId="0" priority="3685"/>
  </conditionalFormatting>
  <conditionalFormatting sqref="KHN101">
    <cfRule type="duplicateValues" dxfId="0" priority="3684"/>
  </conditionalFormatting>
  <conditionalFormatting sqref="KHU101">
    <cfRule type="duplicateValues" dxfId="0" priority="3683"/>
  </conditionalFormatting>
  <conditionalFormatting sqref="KIB101">
    <cfRule type="duplicateValues" dxfId="0" priority="3682"/>
  </conditionalFormatting>
  <conditionalFormatting sqref="KII101">
    <cfRule type="duplicateValues" dxfId="0" priority="3681"/>
  </conditionalFormatting>
  <conditionalFormatting sqref="KIP101">
    <cfRule type="duplicateValues" dxfId="0" priority="3680"/>
  </conditionalFormatting>
  <conditionalFormatting sqref="KIW101">
    <cfRule type="duplicateValues" dxfId="0" priority="3679"/>
  </conditionalFormatting>
  <conditionalFormatting sqref="KJD101">
    <cfRule type="duplicateValues" dxfId="0" priority="3678"/>
  </conditionalFormatting>
  <conditionalFormatting sqref="KJK101">
    <cfRule type="duplicateValues" dxfId="0" priority="3677"/>
  </conditionalFormatting>
  <conditionalFormatting sqref="KJR101">
    <cfRule type="duplicateValues" dxfId="0" priority="3676"/>
  </conditionalFormatting>
  <conditionalFormatting sqref="KJY101">
    <cfRule type="duplicateValues" dxfId="0" priority="3675"/>
  </conditionalFormatting>
  <conditionalFormatting sqref="KKF101">
    <cfRule type="duplicateValues" dxfId="0" priority="3674"/>
  </conditionalFormatting>
  <conditionalFormatting sqref="KKM101">
    <cfRule type="duplicateValues" dxfId="0" priority="3673"/>
  </conditionalFormatting>
  <conditionalFormatting sqref="KKT101">
    <cfRule type="duplicateValues" dxfId="0" priority="3672"/>
  </conditionalFormatting>
  <conditionalFormatting sqref="KLA101">
    <cfRule type="duplicateValues" dxfId="0" priority="3671"/>
  </conditionalFormatting>
  <conditionalFormatting sqref="KLH101">
    <cfRule type="duplicateValues" dxfId="0" priority="3670"/>
  </conditionalFormatting>
  <conditionalFormatting sqref="KLO101">
    <cfRule type="duplicateValues" dxfId="0" priority="3669"/>
  </conditionalFormatting>
  <conditionalFormatting sqref="KLV101">
    <cfRule type="duplicateValues" dxfId="0" priority="3668"/>
  </conditionalFormatting>
  <conditionalFormatting sqref="KMC101">
    <cfRule type="duplicateValues" dxfId="0" priority="3667"/>
  </conditionalFormatting>
  <conditionalFormatting sqref="KMJ101">
    <cfRule type="duplicateValues" dxfId="0" priority="3666"/>
  </conditionalFormatting>
  <conditionalFormatting sqref="KMQ101">
    <cfRule type="duplicateValues" dxfId="0" priority="3665"/>
  </conditionalFormatting>
  <conditionalFormatting sqref="KMX101">
    <cfRule type="duplicateValues" dxfId="0" priority="3664"/>
  </conditionalFormatting>
  <conditionalFormatting sqref="KNE101">
    <cfRule type="duplicateValues" dxfId="0" priority="3663"/>
  </conditionalFormatting>
  <conditionalFormatting sqref="KNL101">
    <cfRule type="duplicateValues" dxfId="0" priority="3662"/>
  </conditionalFormatting>
  <conditionalFormatting sqref="KNS101">
    <cfRule type="duplicateValues" dxfId="0" priority="3661"/>
  </conditionalFormatting>
  <conditionalFormatting sqref="KNZ101">
    <cfRule type="duplicateValues" dxfId="0" priority="3660"/>
  </conditionalFormatting>
  <conditionalFormatting sqref="KOG101">
    <cfRule type="duplicateValues" dxfId="0" priority="3659"/>
  </conditionalFormatting>
  <conditionalFormatting sqref="KON101">
    <cfRule type="duplicateValues" dxfId="0" priority="3658"/>
  </conditionalFormatting>
  <conditionalFormatting sqref="KOU101">
    <cfRule type="duplicateValues" dxfId="0" priority="3657"/>
  </conditionalFormatting>
  <conditionalFormatting sqref="KPB101">
    <cfRule type="duplicateValues" dxfId="0" priority="3656"/>
  </conditionalFormatting>
  <conditionalFormatting sqref="KPI101">
    <cfRule type="duplicateValues" dxfId="0" priority="3655"/>
  </conditionalFormatting>
  <conditionalFormatting sqref="KPP101">
    <cfRule type="duplicateValues" dxfId="0" priority="3654"/>
  </conditionalFormatting>
  <conditionalFormatting sqref="KPW101">
    <cfRule type="duplicateValues" dxfId="0" priority="3653"/>
  </conditionalFormatting>
  <conditionalFormatting sqref="KQD101">
    <cfRule type="duplicateValues" dxfId="0" priority="3652"/>
  </conditionalFormatting>
  <conditionalFormatting sqref="KQK101">
    <cfRule type="duplicateValues" dxfId="0" priority="3651"/>
  </conditionalFormatting>
  <conditionalFormatting sqref="KQR101">
    <cfRule type="duplicateValues" dxfId="0" priority="3650"/>
  </conditionalFormatting>
  <conditionalFormatting sqref="KQY101">
    <cfRule type="duplicateValues" dxfId="0" priority="3649"/>
  </conditionalFormatting>
  <conditionalFormatting sqref="KRF101">
    <cfRule type="duplicateValues" dxfId="0" priority="3648"/>
  </conditionalFormatting>
  <conditionalFormatting sqref="KRM101">
    <cfRule type="duplicateValues" dxfId="0" priority="3647"/>
  </conditionalFormatting>
  <conditionalFormatting sqref="KRT101">
    <cfRule type="duplicateValues" dxfId="0" priority="3646"/>
  </conditionalFormatting>
  <conditionalFormatting sqref="KSA101">
    <cfRule type="duplicateValues" dxfId="0" priority="3645"/>
  </conditionalFormatting>
  <conditionalFormatting sqref="KSH101">
    <cfRule type="duplicateValues" dxfId="0" priority="3644"/>
  </conditionalFormatting>
  <conditionalFormatting sqref="KSO101">
    <cfRule type="duplicateValues" dxfId="0" priority="3643"/>
  </conditionalFormatting>
  <conditionalFormatting sqref="KSV101">
    <cfRule type="duplicateValues" dxfId="0" priority="3642"/>
  </conditionalFormatting>
  <conditionalFormatting sqref="KTC101">
    <cfRule type="duplicateValues" dxfId="0" priority="3641"/>
  </conditionalFormatting>
  <conditionalFormatting sqref="KTJ101">
    <cfRule type="duplicateValues" dxfId="0" priority="3640"/>
  </conditionalFormatting>
  <conditionalFormatting sqref="KTQ101">
    <cfRule type="duplicateValues" dxfId="0" priority="3639"/>
  </conditionalFormatting>
  <conditionalFormatting sqref="KTX101">
    <cfRule type="duplicateValues" dxfId="0" priority="3638"/>
  </conditionalFormatting>
  <conditionalFormatting sqref="KUE101">
    <cfRule type="duplicateValues" dxfId="0" priority="3637"/>
  </conditionalFormatting>
  <conditionalFormatting sqref="KUL101">
    <cfRule type="duplicateValues" dxfId="0" priority="3636"/>
  </conditionalFormatting>
  <conditionalFormatting sqref="KUS101">
    <cfRule type="duplicateValues" dxfId="0" priority="3635"/>
  </conditionalFormatting>
  <conditionalFormatting sqref="KUZ101">
    <cfRule type="duplicateValues" dxfId="0" priority="3634"/>
  </conditionalFormatting>
  <conditionalFormatting sqref="KVG101">
    <cfRule type="duplicateValues" dxfId="0" priority="3633"/>
  </conditionalFormatting>
  <conditionalFormatting sqref="KVN101">
    <cfRule type="duplicateValues" dxfId="0" priority="3632"/>
  </conditionalFormatting>
  <conditionalFormatting sqref="KVU101">
    <cfRule type="duplicateValues" dxfId="0" priority="3631"/>
  </conditionalFormatting>
  <conditionalFormatting sqref="KWB101">
    <cfRule type="duplicateValues" dxfId="0" priority="3630"/>
  </conditionalFormatting>
  <conditionalFormatting sqref="KWI101">
    <cfRule type="duplicateValues" dxfId="0" priority="3629"/>
  </conditionalFormatting>
  <conditionalFormatting sqref="KWP101">
    <cfRule type="duplicateValues" dxfId="0" priority="3628"/>
  </conditionalFormatting>
  <conditionalFormatting sqref="KWW101">
    <cfRule type="duplicateValues" dxfId="0" priority="3627"/>
  </conditionalFormatting>
  <conditionalFormatting sqref="KXD101">
    <cfRule type="duplicateValues" dxfId="0" priority="3626"/>
  </conditionalFormatting>
  <conditionalFormatting sqref="KXK101">
    <cfRule type="duplicateValues" dxfId="0" priority="3625"/>
  </conditionalFormatting>
  <conditionalFormatting sqref="KXR101">
    <cfRule type="duplicateValues" dxfId="0" priority="3624"/>
  </conditionalFormatting>
  <conditionalFormatting sqref="KXY101">
    <cfRule type="duplicateValues" dxfId="0" priority="3623"/>
  </conditionalFormatting>
  <conditionalFormatting sqref="KYF101">
    <cfRule type="duplicateValues" dxfId="0" priority="3622"/>
  </conditionalFormatting>
  <conditionalFormatting sqref="KYM101">
    <cfRule type="duplicateValues" dxfId="0" priority="3621"/>
  </conditionalFormatting>
  <conditionalFormatting sqref="KYT101">
    <cfRule type="duplicateValues" dxfId="0" priority="3620"/>
  </conditionalFormatting>
  <conditionalFormatting sqref="KZA101">
    <cfRule type="duplicateValues" dxfId="0" priority="3619"/>
  </conditionalFormatting>
  <conditionalFormatting sqref="KZH101">
    <cfRule type="duplicateValues" dxfId="0" priority="3618"/>
  </conditionalFormatting>
  <conditionalFormatting sqref="KZO101">
    <cfRule type="duplicateValues" dxfId="0" priority="3617"/>
  </conditionalFormatting>
  <conditionalFormatting sqref="KZV101">
    <cfRule type="duplicateValues" dxfId="0" priority="3616"/>
  </conditionalFormatting>
  <conditionalFormatting sqref="LAC101">
    <cfRule type="duplicateValues" dxfId="0" priority="3615"/>
  </conditionalFormatting>
  <conditionalFormatting sqref="LAJ101">
    <cfRule type="duplicateValues" dxfId="0" priority="3614"/>
  </conditionalFormatting>
  <conditionalFormatting sqref="LAQ101">
    <cfRule type="duplicateValues" dxfId="0" priority="3613"/>
  </conditionalFormatting>
  <conditionalFormatting sqref="LAX101">
    <cfRule type="duplicateValues" dxfId="0" priority="3612"/>
  </conditionalFormatting>
  <conditionalFormatting sqref="LBE101">
    <cfRule type="duplicateValues" dxfId="0" priority="3611"/>
  </conditionalFormatting>
  <conditionalFormatting sqref="LBL101">
    <cfRule type="duplicateValues" dxfId="0" priority="3610"/>
  </conditionalFormatting>
  <conditionalFormatting sqref="LBS101">
    <cfRule type="duplicateValues" dxfId="0" priority="3609"/>
  </conditionalFormatting>
  <conditionalFormatting sqref="LBZ101">
    <cfRule type="duplicateValues" dxfId="0" priority="3608"/>
  </conditionalFormatting>
  <conditionalFormatting sqref="LCG101">
    <cfRule type="duplicateValues" dxfId="0" priority="3607"/>
  </conditionalFormatting>
  <conditionalFormatting sqref="LCN101">
    <cfRule type="duplicateValues" dxfId="0" priority="3606"/>
  </conditionalFormatting>
  <conditionalFormatting sqref="LCU101">
    <cfRule type="duplicateValues" dxfId="0" priority="3605"/>
  </conditionalFormatting>
  <conditionalFormatting sqref="LDB101">
    <cfRule type="duplicateValues" dxfId="0" priority="3604"/>
  </conditionalFormatting>
  <conditionalFormatting sqref="LDI101">
    <cfRule type="duplicateValues" dxfId="0" priority="3603"/>
  </conditionalFormatting>
  <conditionalFormatting sqref="LDP101">
    <cfRule type="duplicateValues" dxfId="0" priority="3602"/>
  </conditionalFormatting>
  <conditionalFormatting sqref="LDW101">
    <cfRule type="duplicateValues" dxfId="0" priority="3601"/>
  </conditionalFormatting>
  <conditionalFormatting sqref="LED101">
    <cfRule type="duplicateValues" dxfId="0" priority="3600"/>
  </conditionalFormatting>
  <conditionalFormatting sqref="LEK101">
    <cfRule type="duplicateValues" dxfId="0" priority="3599"/>
  </conditionalFormatting>
  <conditionalFormatting sqref="LER101">
    <cfRule type="duplicateValues" dxfId="0" priority="3598"/>
  </conditionalFormatting>
  <conditionalFormatting sqref="LEY101">
    <cfRule type="duplicateValues" dxfId="0" priority="3597"/>
  </conditionalFormatting>
  <conditionalFormatting sqref="LFF101">
    <cfRule type="duplicateValues" dxfId="0" priority="3596"/>
  </conditionalFormatting>
  <conditionalFormatting sqref="LFM101">
    <cfRule type="duplicateValues" dxfId="0" priority="3595"/>
  </conditionalFormatting>
  <conditionalFormatting sqref="LFT101">
    <cfRule type="duplicateValues" dxfId="0" priority="3594"/>
  </conditionalFormatting>
  <conditionalFormatting sqref="LGA101">
    <cfRule type="duplicateValues" dxfId="0" priority="3593"/>
  </conditionalFormatting>
  <conditionalFormatting sqref="LGH101">
    <cfRule type="duplicateValues" dxfId="0" priority="3592"/>
  </conditionalFormatting>
  <conditionalFormatting sqref="LGO101">
    <cfRule type="duplicateValues" dxfId="0" priority="3591"/>
  </conditionalFormatting>
  <conditionalFormatting sqref="LGV101">
    <cfRule type="duplicateValues" dxfId="0" priority="3590"/>
  </conditionalFormatting>
  <conditionalFormatting sqref="LHC101">
    <cfRule type="duplicateValues" dxfId="0" priority="3589"/>
  </conditionalFormatting>
  <conditionalFormatting sqref="LHJ101">
    <cfRule type="duplicateValues" dxfId="0" priority="3588"/>
  </conditionalFormatting>
  <conditionalFormatting sqref="LHQ101">
    <cfRule type="duplicateValues" dxfId="0" priority="3587"/>
  </conditionalFormatting>
  <conditionalFormatting sqref="LHX101">
    <cfRule type="duplicateValues" dxfId="0" priority="3586"/>
  </conditionalFormatting>
  <conditionalFormatting sqref="LIE101">
    <cfRule type="duplicateValues" dxfId="0" priority="3585"/>
  </conditionalFormatting>
  <conditionalFormatting sqref="LIL101">
    <cfRule type="duplicateValues" dxfId="0" priority="3584"/>
  </conditionalFormatting>
  <conditionalFormatting sqref="LIS101">
    <cfRule type="duplicateValues" dxfId="0" priority="3583"/>
  </conditionalFormatting>
  <conditionalFormatting sqref="LIZ101">
    <cfRule type="duplicateValues" dxfId="0" priority="3582"/>
  </conditionalFormatting>
  <conditionalFormatting sqref="LJG101">
    <cfRule type="duplicateValues" dxfId="0" priority="3581"/>
  </conditionalFormatting>
  <conditionalFormatting sqref="LJN101">
    <cfRule type="duplicateValues" dxfId="0" priority="3580"/>
  </conditionalFormatting>
  <conditionalFormatting sqref="LJU101">
    <cfRule type="duplicateValues" dxfId="0" priority="3579"/>
  </conditionalFormatting>
  <conditionalFormatting sqref="LKB101">
    <cfRule type="duplicateValues" dxfId="0" priority="3578"/>
  </conditionalFormatting>
  <conditionalFormatting sqref="LKI101">
    <cfRule type="duplicateValues" dxfId="0" priority="3577"/>
  </conditionalFormatting>
  <conditionalFormatting sqref="LKP101">
    <cfRule type="duplicateValues" dxfId="0" priority="3576"/>
  </conditionalFormatting>
  <conditionalFormatting sqref="LKW101">
    <cfRule type="duplicateValues" dxfId="0" priority="3575"/>
  </conditionalFormatting>
  <conditionalFormatting sqref="LLD101">
    <cfRule type="duplicateValues" dxfId="0" priority="3574"/>
  </conditionalFormatting>
  <conditionalFormatting sqref="LLK101">
    <cfRule type="duplicateValues" dxfId="0" priority="3573"/>
  </conditionalFormatting>
  <conditionalFormatting sqref="LLR101">
    <cfRule type="duplicateValues" dxfId="0" priority="3572"/>
  </conditionalFormatting>
  <conditionalFormatting sqref="LLY101">
    <cfRule type="duplicateValues" dxfId="0" priority="3571"/>
  </conditionalFormatting>
  <conditionalFormatting sqref="LMF101">
    <cfRule type="duplicateValues" dxfId="0" priority="3570"/>
  </conditionalFormatting>
  <conditionalFormatting sqref="LMM101">
    <cfRule type="duplicateValues" dxfId="0" priority="3569"/>
  </conditionalFormatting>
  <conditionalFormatting sqref="LMT101">
    <cfRule type="duplicateValues" dxfId="0" priority="3568"/>
  </conditionalFormatting>
  <conditionalFormatting sqref="LNA101">
    <cfRule type="duplicateValues" dxfId="0" priority="3567"/>
  </conditionalFormatting>
  <conditionalFormatting sqref="LNH101">
    <cfRule type="duplicateValues" dxfId="0" priority="3566"/>
  </conditionalFormatting>
  <conditionalFormatting sqref="LNO101">
    <cfRule type="duplicateValues" dxfId="0" priority="3565"/>
  </conditionalFormatting>
  <conditionalFormatting sqref="LNV101">
    <cfRule type="duplicateValues" dxfId="0" priority="3564"/>
  </conditionalFormatting>
  <conditionalFormatting sqref="LOC101">
    <cfRule type="duplicateValues" dxfId="0" priority="3563"/>
  </conditionalFormatting>
  <conditionalFormatting sqref="LOJ101">
    <cfRule type="duplicateValues" dxfId="0" priority="3562"/>
  </conditionalFormatting>
  <conditionalFormatting sqref="LOQ101">
    <cfRule type="duplicateValues" dxfId="0" priority="3561"/>
  </conditionalFormatting>
  <conditionalFormatting sqref="LOX101">
    <cfRule type="duplicateValues" dxfId="0" priority="3560"/>
  </conditionalFormatting>
  <conditionalFormatting sqref="LPE101">
    <cfRule type="duplicateValues" dxfId="0" priority="3559"/>
  </conditionalFormatting>
  <conditionalFormatting sqref="LPL101">
    <cfRule type="duplicateValues" dxfId="0" priority="3558"/>
  </conditionalFormatting>
  <conditionalFormatting sqref="LPS101">
    <cfRule type="duplicateValues" dxfId="0" priority="3557"/>
  </conditionalFormatting>
  <conditionalFormatting sqref="LPZ101">
    <cfRule type="duplicateValues" dxfId="0" priority="3556"/>
  </conditionalFormatting>
  <conditionalFormatting sqref="LQG101">
    <cfRule type="duplicateValues" dxfId="0" priority="3555"/>
  </conditionalFormatting>
  <conditionalFormatting sqref="LQN101">
    <cfRule type="duplicateValues" dxfId="0" priority="3554"/>
  </conditionalFormatting>
  <conditionalFormatting sqref="LQU101">
    <cfRule type="duplicateValues" dxfId="0" priority="3553"/>
  </conditionalFormatting>
  <conditionalFormatting sqref="LRB101">
    <cfRule type="duplicateValues" dxfId="0" priority="3552"/>
  </conditionalFormatting>
  <conditionalFormatting sqref="LRI101">
    <cfRule type="duplicateValues" dxfId="0" priority="3551"/>
  </conditionalFormatting>
  <conditionalFormatting sqref="LRP101">
    <cfRule type="duplicateValues" dxfId="0" priority="3550"/>
  </conditionalFormatting>
  <conditionalFormatting sqref="LRW101">
    <cfRule type="duplicateValues" dxfId="0" priority="3549"/>
  </conditionalFormatting>
  <conditionalFormatting sqref="LSD101">
    <cfRule type="duplicateValues" dxfId="0" priority="3548"/>
  </conditionalFormatting>
  <conditionalFormatting sqref="LSK101">
    <cfRule type="duplicateValues" dxfId="0" priority="3547"/>
  </conditionalFormatting>
  <conditionalFormatting sqref="LSR101">
    <cfRule type="duplicateValues" dxfId="0" priority="3546"/>
  </conditionalFormatting>
  <conditionalFormatting sqref="LSY101">
    <cfRule type="duplicateValues" dxfId="0" priority="3545"/>
  </conditionalFormatting>
  <conditionalFormatting sqref="LTF101">
    <cfRule type="duplicateValues" dxfId="0" priority="3544"/>
  </conditionalFormatting>
  <conditionalFormatting sqref="LTM101">
    <cfRule type="duplicateValues" dxfId="0" priority="3543"/>
  </conditionalFormatting>
  <conditionalFormatting sqref="LTT101">
    <cfRule type="duplicateValues" dxfId="0" priority="3542"/>
  </conditionalFormatting>
  <conditionalFormatting sqref="LUA101">
    <cfRule type="duplicateValues" dxfId="0" priority="3541"/>
  </conditionalFormatting>
  <conditionalFormatting sqref="LUH101">
    <cfRule type="duplicateValues" dxfId="0" priority="3540"/>
  </conditionalFormatting>
  <conditionalFormatting sqref="LUO101">
    <cfRule type="duplicateValues" dxfId="0" priority="3539"/>
  </conditionalFormatting>
  <conditionalFormatting sqref="LUV101">
    <cfRule type="duplicateValues" dxfId="0" priority="3538"/>
  </conditionalFormatting>
  <conditionalFormatting sqref="LVC101">
    <cfRule type="duplicateValues" dxfId="0" priority="3537"/>
  </conditionalFormatting>
  <conditionalFormatting sqref="LVJ101">
    <cfRule type="duplicateValues" dxfId="0" priority="3536"/>
  </conditionalFormatting>
  <conditionalFormatting sqref="LVQ101">
    <cfRule type="duplicateValues" dxfId="0" priority="3535"/>
  </conditionalFormatting>
  <conditionalFormatting sqref="LVX101">
    <cfRule type="duplicateValues" dxfId="0" priority="3534"/>
  </conditionalFormatting>
  <conditionalFormatting sqref="LWE101">
    <cfRule type="duplicateValues" dxfId="0" priority="3533"/>
  </conditionalFormatting>
  <conditionalFormatting sqref="LWL101">
    <cfRule type="duplicateValues" dxfId="0" priority="3532"/>
  </conditionalFormatting>
  <conditionalFormatting sqref="LWS101">
    <cfRule type="duplicateValues" dxfId="0" priority="3531"/>
  </conditionalFormatting>
  <conditionalFormatting sqref="LWZ101">
    <cfRule type="duplicateValues" dxfId="0" priority="3530"/>
  </conditionalFormatting>
  <conditionalFormatting sqref="LXG101">
    <cfRule type="duplicateValues" dxfId="0" priority="3529"/>
  </conditionalFormatting>
  <conditionalFormatting sqref="LXN101">
    <cfRule type="duplicateValues" dxfId="0" priority="3528"/>
  </conditionalFormatting>
  <conditionalFormatting sqref="LXU101">
    <cfRule type="duplicateValues" dxfId="0" priority="3527"/>
  </conditionalFormatting>
  <conditionalFormatting sqref="LYB101">
    <cfRule type="duplicateValues" dxfId="0" priority="3526"/>
  </conditionalFormatting>
  <conditionalFormatting sqref="LYI101">
    <cfRule type="duplicateValues" dxfId="0" priority="3525"/>
  </conditionalFormatting>
  <conditionalFormatting sqref="LYP101">
    <cfRule type="duplicateValues" dxfId="0" priority="3524"/>
  </conditionalFormatting>
  <conditionalFormatting sqref="LYW101">
    <cfRule type="duplicateValues" dxfId="0" priority="3523"/>
  </conditionalFormatting>
  <conditionalFormatting sqref="LZD101">
    <cfRule type="duplicateValues" dxfId="0" priority="3522"/>
  </conditionalFormatting>
  <conditionalFormatting sqref="LZK101">
    <cfRule type="duplicateValues" dxfId="0" priority="3521"/>
  </conditionalFormatting>
  <conditionalFormatting sqref="LZR101">
    <cfRule type="duplicateValues" dxfId="0" priority="3520"/>
  </conditionalFormatting>
  <conditionalFormatting sqref="LZY101">
    <cfRule type="duplicateValues" dxfId="0" priority="3519"/>
  </conditionalFormatting>
  <conditionalFormatting sqref="MAF101">
    <cfRule type="duplicateValues" dxfId="0" priority="3518"/>
  </conditionalFormatting>
  <conditionalFormatting sqref="MAM101">
    <cfRule type="duplicateValues" dxfId="0" priority="3517"/>
  </conditionalFormatting>
  <conditionalFormatting sqref="MAT101">
    <cfRule type="duplicateValues" dxfId="0" priority="3516"/>
  </conditionalFormatting>
  <conditionalFormatting sqref="MBA101">
    <cfRule type="duplicateValues" dxfId="0" priority="3515"/>
  </conditionalFormatting>
  <conditionalFormatting sqref="MBH101">
    <cfRule type="duplicateValues" dxfId="0" priority="3514"/>
  </conditionalFormatting>
  <conditionalFormatting sqref="MBO101">
    <cfRule type="duplicateValues" dxfId="0" priority="3513"/>
  </conditionalFormatting>
  <conditionalFormatting sqref="MBV101">
    <cfRule type="duplicateValues" dxfId="0" priority="3512"/>
  </conditionalFormatting>
  <conditionalFormatting sqref="MCC101">
    <cfRule type="duplicateValues" dxfId="0" priority="3511"/>
  </conditionalFormatting>
  <conditionalFormatting sqref="MCJ101">
    <cfRule type="duplicateValues" dxfId="0" priority="3510"/>
  </conditionalFormatting>
  <conditionalFormatting sqref="MCQ101">
    <cfRule type="duplicateValues" dxfId="0" priority="3509"/>
  </conditionalFormatting>
  <conditionalFormatting sqref="MCX101">
    <cfRule type="duplicateValues" dxfId="0" priority="3508"/>
  </conditionalFormatting>
  <conditionalFormatting sqref="MDE101">
    <cfRule type="duplicateValues" dxfId="0" priority="3507"/>
  </conditionalFormatting>
  <conditionalFormatting sqref="MDL101">
    <cfRule type="duplicateValues" dxfId="0" priority="3506"/>
  </conditionalFormatting>
  <conditionalFormatting sqref="MDS101">
    <cfRule type="duplicateValues" dxfId="0" priority="3505"/>
  </conditionalFormatting>
  <conditionalFormatting sqref="MDZ101">
    <cfRule type="duplicateValues" dxfId="0" priority="3504"/>
  </conditionalFormatting>
  <conditionalFormatting sqref="MEG101">
    <cfRule type="duplicateValues" dxfId="0" priority="3503"/>
  </conditionalFormatting>
  <conditionalFormatting sqref="MEN101">
    <cfRule type="duplicateValues" dxfId="0" priority="3502"/>
  </conditionalFormatting>
  <conditionalFormatting sqref="MEU101">
    <cfRule type="duplicateValues" dxfId="0" priority="3501"/>
  </conditionalFormatting>
  <conditionalFormatting sqref="MFB101">
    <cfRule type="duplicateValues" dxfId="0" priority="3500"/>
  </conditionalFormatting>
  <conditionalFormatting sqref="MFI101">
    <cfRule type="duplicateValues" dxfId="0" priority="3499"/>
  </conditionalFormatting>
  <conditionalFormatting sqref="MFP101">
    <cfRule type="duplicateValues" dxfId="0" priority="3498"/>
  </conditionalFormatting>
  <conditionalFormatting sqref="MFW101">
    <cfRule type="duplicateValues" dxfId="0" priority="3497"/>
  </conditionalFormatting>
  <conditionalFormatting sqref="MGD101">
    <cfRule type="duplicateValues" dxfId="0" priority="3496"/>
  </conditionalFormatting>
  <conditionalFormatting sqref="MGK101">
    <cfRule type="duplicateValues" dxfId="0" priority="3495"/>
  </conditionalFormatting>
  <conditionalFormatting sqref="MGR101">
    <cfRule type="duplicateValues" dxfId="0" priority="3494"/>
  </conditionalFormatting>
  <conditionalFormatting sqref="MGY101">
    <cfRule type="duplicateValues" dxfId="0" priority="3493"/>
  </conditionalFormatting>
  <conditionalFormatting sqref="MHF101">
    <cfRule type="duplicateValues" dxfId="0" priority="3492"/>
  </conditionalFormatting>
  <conditionalFormatting sqref="MHM101">
    <cfRule type="duplicateValues" dxfId="0" priority="3491"/>
  </conditionalFormatting>
  <conditionalFormatting sqref="MHT101">
    <cfRule type="duplicateValues" dxfId="0" priority="3490"/>
  </conditionalFormatting>
  <conditionalFormatting sqref="MIA101">
    <cfRule type="duplicateValues" dxfId="0" priority="3489"/>
  </conditionalFormatting>
  <conditionalFormatting sqref="MIH101">
    <cfRule type="duplicateValues" dxfId="0" priority="3488"/>
  </conditionalFormatting>
  <conditionalFormatting sqref="MIO101">
    <cfRule type="duplicateValues" dxfId="0" priority="3487"/>
  </conditionalFormatting>
  <conditionalFormatting sqref="MIV101">
    <cfRule type="duplicateValues" dxfId="0" priority="3486"/>
  </conditionalFormatting>
  <conditionalFormatting sqref="MJC101">
    <cfRule type="duplicateValues" dxfId="0" priority="3485"/>
  </conditionalFormatting>
  <conditionalFormatting sqref="MJJ101">
    <cfRule type="duplicateValues" dxfId="0" priority="3484"/>
  </conditionalFormatting>
  <conditionalFormatting sqref="MJQ101">
    <cfRule type="duplicateValues" dxfId="0" priority="3483"/>
  </conditionalFormatting>
  <conditionalFormatting sqref="MJX101">
    <cfRule type="duplicateValues" dxfId="0" priority="3482"/>
  </conditionalFormatting>
  <conditionalFormatting sqref="MKE101">
    <cfRule type="duplicateValues" dxfId="0" priority="3481"/>
  </conditionalFormatting>
  <conditionalFormatting sqref="MKL101">
    <cfRule type="duplicateValues" dxfId="0" priority="3480"/>
  </conditionalFormatting>
  <conditionalFormatting sqref="MKS101">
    <cfRule type="duplicateValues" dxfId="0" priority="3479"/>
  </conditionalFormatting>
  <conditionalFormatting sqref="MKZ101">
    <cfRule type="duplicateValues" dxfId="0" priority="3478"/>
  </conditionalFormatting>
  <conditionalFormatting sqref="MLG101">
    <cfRule type="duplicateValues" dxfId="0" priority="3477"/>
  </conditionalFormatting>
  <conditionalFormatting sqref="MLN101">
    <cfRule type="duplicateValues" dxfId="0" priority="3476"/>
  </conditionalFormatting>
  <conditionalFormatting sqref="MLU101">
    <cfRule type="duplicateValues" dxfId="0" priority="3475"/>
  </conditionalFormatting>
  <conditionalFormatting sqref="MMB101">
    <cfRule type="duplicateValues" dxfId="0" priority="3474"/>
  </conditionalFormatting>
  <conditionalFormatting sqref="MMI101">
    <cfRule type="duplicateValues" dxfId="0" priority="3473"/>
  </conditionalFormatting>
  <conditionalFormatting sqref="MMP101">
    <cfRule type="duplicateValues" dxfId="0" priority="3472"/>
  </conditionalFormatting>
  <conditionalFormatting sqref="MMW101">
    <cfRule type="duplicateValues" dxfId="0" priority="3471"/>
  </conditionalFormatting>
  <conditionalFormatting sqref="MND101">
    <cfRule type="duplicateValues" dxfId="0" priority="3470"/>
  </conditionalFormatting>
  <conditionalFormatting sqref="MNK101">
    <cfRule type="duplicateValues" dxfId="0" priority="3469"/>
  </conditionalFormatting>
  <conditionalFormatting sqref="MNR101">
    <cfRule type="duplicateValues" dxfId="0" priority="3468"/>
  </conditionalFormatting>
  <conditionalFormatting sqref="MNY101">
    <cfRule type="duplicateValues" dxfId="0" priority="3467"/>
  </conditionalFormatting>
  <conditionalFormatting sqref="MOF101">
    <cfRule type="duplicateValues" dxfId="0" priority="3466"/>
  </conditionalFormatting>
  <conditionalFormatting sqref="MOM101">
    <cfRule type="duplicateValues" dxfId="0" priority="3465"/>
  </conditionalFormatting>
  <conditionalFormatting sqref="MOT101">
    <cfRule type="duplicateValues" dxfId="0" priority="3464"/>
  </conditionalFormatting>
  <conditionalFormatting sqref="MPA101">
    <cfRule type="duplicateValues" dxfId="0" priority="3463"/>
  </conditionalFormatting>
  <conditionalFormatting sqref="MPH101">
    <cfRule type="duplicateValues" dxfId="0" priority="3462"/>
  </conditionalFormatting>
  <conditionalFormatting sqref="MPO101">
    <cfRule type="duplicateValues" dxfId="0" priority="3461"/>
  </conditionalFormatting>
  <conditionalFormatting sqref="MPV101">
    <cfRule type="duplicateValues" dxfId="0" priority="3460"/>
  </conditionalFormatting>
  <conditionalFormatting sqref="MQC101">
    <cfRule type="duplicateValues" dxfId="0" priority="3459"/>
  </conditionalFormatting>
  <conditionalFormatting sqref="MQJ101">
    <cfRule type="duplicateValues" dxfId="0" priority="3458"/>
  </conditionalFormatting>
  <conditionalFormatting sqref="MQQ101">
    <cfRule type="duplicateValues" dxfId="0" priority="3457"/>
  </conditionalFormatting>
  <conditionalFormatting sqref="MQX101">
    <cfRule type="duplicateValues" dxfId="0" priority="3456"/>
  </conditionalFormatting>
  <conditionalFormatting sqref="MRE101">
    <cfRule type="duplicateValues" dxfId="0" priority="3455"/>
  </conditionalFormatting>
  <conditionalFormatting sqref="MRL101">
    <cfRule type="duplicateValues" dxfId="0" priority="3454"/>
  </conditionalFormatting>
  <conditionalFormatting sqref="MRS101">
    <cfRule type="duplicateValues" dxfId="0" priority="3453"/>
  </conditionalFormatting>
  <conditionalFormatting sqref="MRZ101">
    <cfRule type="duplicateValues" dxfId="0" priority="3452"/>
  </conditionalFormatting>
  <conditionalFormatting sqref="MSG101">
    <cfRule type="duplicateValues" dxfId="0" priority="3451"/>
  </conditionalFormatting>
  <conditionalFormatting sqref="MSN101">
    <cfRule type="duplicateValues" dxfId="0" priority="3450"/>
  </conditionalFormatting>
  <conditionalFormatting sqref="MSU101">
    <cfRule type="duplicateValues" dxfId="0" priority="3449"/>
  </conditionalFormatting>
  <conditionalFormatting sqref="MTB101">
    <cfRule type="duplicateValues" dxfId="0" priority="3448"/>
  </conditionalFormatting>
  <conditionalFormatting sqref="MTI101">
    <cfRule type="duplicateValues" dxfId="0" priority="3447"/>
  </conditionalFormatting>
  <conditionalFormatting sqref="MTP101">
    <cfRule type="duplicateValues" dxfId="0" priority="3446"/>
  </conditionalFormatting>
  <conditionalFormatting sqref="MTW101">
    <cfRule type="duplicateValues" dxfId="0" priority="3445"/>
  </conditionalFormatting>
  <conditionalFormatting sqref="MUD101">
    <cfRule type="duplicateValues" dxfId="0" priority="3444"/>
  </conditionalFormatting>
  <conditionalFormatting sqref="MUK101">
    <cfRule type="duplicateValues" dxfId="0" priority="3443"/>
  </conditionalFormatting>
  <conditionalFormatting sqref="MUR101">
    <cfRule type="duplicateValues" dxfId="0" priority="3442"/>
  </conditionalFormatting>
  <conditionalFormatting sqref="MUY101">
    <cfRule type="duplicateValues" dxfId="0" priority="3441"/>
  </conditionalFormatting>
  <conditionalFormatting sqref="MVF101">
    <cfRule type="duplicateValues" dxfId="0" priority="3440"/>
  </conditionalFormatting>
  <conditionalFormatting sqref="MVM101">
    <cfRule type="duplicateValues" dxfId="0" priority="3439"/>
  </conditionalFormatting>
  <conditionalFormatting sqref="MVT101">
    <cfRule type="duplicateValues" dxfId="0" priority="3438"/>
  </conditionalFormatting>
  <conditionalFormatting sqref="MWA101">
    <cfRule type="duplicateValues" dxfId="0" priority="3437"/>
  </conditionalFormatting>
  <conditionalFormatting sqref="MWH101">
    <cfRule type="duplicateValues" dxfId="0" priority="3436"/>
  </conditionalFormatting>
  <conditionalFormatting sqref="MWO101">
    <cfRule type="duplicateValues" dxfId="0" priority="3435"/>
  </conditionalFormatting>
  <conditionalFormatting sqref="MWV101">
    <cfRule type="duplicateValues" dxfId="0" priority="3434"/>
  </conditionalFormatting>
  <conditionalFormatting sqref="MXC101">
    <cfRule type="duplicateValues" dxfId="0" priority="3433"/>
  </conditionalFormatting>
  <conditionalFormatting sqref="MXJ101">
    <cfRule type="duplicateValues" dxfId="0" priority="3432"/>
  </conditionalFormatting>
  <conditionalFormatting sqref="MXQ101">
    <cfRule type="duplicateValues" dxfId="0" priority="3431"/>
  </conditionalFormatting>
  <conditionalFormatting sqref="MXX101">
    <cfRule type="duplicateValues" dxfId="0" priority="3430"/>
  </conditionalFormatting>
  <conditionalFormatting sqref="MYE101">
    <cfRule type="duplicateValues" dxfId="0" priority="3429"/>
  </conditionalFormatting>
  <conditionalFormatting sqref="MYL101">
    <cfRule type="duplicateValues" dxfId="0" priority="3428"/>
  </conditionalFormatting>
  <conditionalFormatting sqref="MYS101">
    <cfRule type="duplicateValues" dxfId="0" priority="3427"/>
  </conditionalFormatting>
  <conditionalFormatting sqref="MYZ101">
    <cfRule type="duplicateValues" dxfId="0" priority="3426"/>
  </conditionalFormatting>
  <conditionalFormatting sqref="MZG101">
    <cfRule type="duplicateValues" dxfId="0" priority="3425"/>
  </conditionalFormatting>
  <conditionalFormatting sqref="MZN101">
    <cfRule type="duplicateValues" dxfId="0" priority="3424"/>
  </conditionalFormatting>
  <conditionalFormatting sqref="MZU101">
    <cfRule type="duplicateValues" dxfId="0" priority="3423"/>
  </conditionalFormatting>
  <conditionalFormatting sqref="NAB101">
    <cfRule type="duplicateValues" dxfId="0" priority="3422"/>
  </conditionalFormatting>
  <conditionalFormatting sqref="NAI101">
    <cfRule type="duplicateValues" dxfId="0" priority="3421"/>
  </conditionalFormatting>
  <conditionalFormatting sqref="NAP101">
    <cfRule type="duplicateValues" dxfId="0" priority="3420"/>
  </conditionalFormatting>
  <conditionalFormatting sqref="NAW101">
    <cfRule type="duplicateValues" dxfId="0" priority="3419"/>
  </conditionalFormatting>
  <conditionalFormatting sqref="NBD101">
    <cfRule type="duplicateValues" dxfId="0" priority="3418"/>
  </conditionalFormatting>
  <conditionalFormatting sqref="NBK101">
    <cfRule type="duplicateValues" dxfId="0" priority="3417"/>
  </conditionalFormatting>
  <conditionalFormatting sqref="NBR101">
    <cfRule type="duplicateValues" dxfId="0" priority="3416"/>
  </conditionalFormatting>
  <conditionalFormatting sqref="NBY101">
    <cfRule type="duplicateValues" dxfId="0" priority="3415"/>
  </conditionalFormatting>
  <conditionalFormatting sqref="NCF101">
    <cfRule type="duplicateValues" dxfId="0" priority="3414"/>
  </conditionalFormatting>
  <conditionalFormatting sqref="NCM101">
    <cfRule type="duplicateValues" dxfId="0" priority="3413"/>
  </conditionalFormatting>
  <conditionalFormatting sqref="NCT101">
    <cfRule type="duplicateValues" dxfId="0" priority="3412"/>
  </conditionalFormatting>
  <conditionalFormatting sqref="NDA101">
    <cfRule type="duplicateValues" dxfId="0" priority="3411"/>
  </conditionalFormatting>
  <conditionalFormatting sqref="NDH101">
    <cfRule type="duplicateValues" dxfId="0" priority="3410"/>
  </conditionalFormatting>
  <conditionalFormatting sqref="NDO101">
    <cfRule type="duplicateValues" dxfId="0" priority="3409"/>
  </conditionalFormatting>
  <conditionalFormatting sqref="NDV101">
    <cfRule type="duplicateValues" dxfId="0" priority="3408"/>
  </conditionalFormatting>
  <conditionalFormatting sqref="NEC101">
    <cfRule type="duplicateValues" dxfId="0" priority="3407"/>
  </conditionalFormatting>
  <conditionalFormatting sqref="NEJ101">
    <cfRule type="duplicateValues" dxfId="0" priority="3406"/>
  </conditionalFormatting>
  <conditionalFormatting sqref="NEQ101">
    <cfRule type="duplicateValues" dxfId="0" priority="3405"/>
  </conditionalFormatting>
  <conditionalFormatting sqref="NEX101">
    <cfRule type="duplicateValues" dxfId="0" priority="3404"/>
  </conditionalFormatting>
  <conditionalFormatting sqref="NFE101">
    <cfRule type="duplicateValues" dxfId="0" priority="3403"/>
  </conditionalFormatting>
  <conditionalFormatting sqref="NFL101">
    <cfRule type="duplicateValues" dxfId="0" priority="3402"/>
  </conditionalFormatting>
  <conditionalFormatting sqref="NFS101">
    <cfRule type="duplicateValues" dxfId="0" priority="3401"/>
  </conditionalFormatting>
  <conditionalFormatting sqref="NFZ101">
    <cfRule type="duplicateValues" dxfId="0" priority="3400"/>
  </conditionalFormatting>
  <conditionalFormatting sqref="NGG101">
    <cfRule type="duplicateValues" dxfId="0" priority="3399"/>
  </conditionalFormatting>
  <conditionalFormatting sqref="NGN101">
    <cfRule type="duplicateValues" dxfId="0" priority="3398"/>
  </conditionalFormatting>
  <conditionalFormatting sqref="NGU101">
    <cfRule type="duplicateValues" dxfId="0" priority="3397"/>
  </conditionalFormatting>
  <conditionalFormatting sqref="NHB101">
    <cfRule type="duplicateValues" dxfId="0" priority="3396"/>
  </conditionalFormatting>
  <conditionalFormatting sqref="NHI101">
    <cfRule type="duplicateValues" dxfId="0" priority="3395"/>
  </conditionalFormatting>
  <conditionalFormatting sqref="NHP101">
    <cfRule type="duplicateValues" dxfId="0" priority="3394"/>
  </conditionalFormatting>
  <conditionalFormatting sqref="NHW101">
    <cfRule type="duplicateValues" dxfId="0" priority="3393"/>
  </conditionalFormatting>
  <conditionalFormatting sqref="NID101">
    <cfRule type="duplicateValues" dxfId="0" priority="3392"/>
  </conditionalFormatting>
  <conditionalFormatting sqref="NIK101">
    <cfRule type="duplicateValues" dxfId="0" priority="3391"/>
  </conditionalFormatting>
  <conditionalFormatting sqref="NIR101">
    <cfRule type="duplicateValues" dxfId="0" priority="3390"/>
  </conditionalFormatting>
  <conditionalFormatting sqref="NIY101">
    <cfRule type="duplicateValues" dxfId="0" priority="3389"/>
  </conditionalFormatting>
  <conditionalFormatting sqref="NJF101">
    <cfRule type="duplicateValues" dxfId="0" priority="3388"/>
  </conditionalFormatting>
  <conditionalFormatting sqref="NJM101">
    <cfRule type="duplicateValues" dxfId="0" priority="3387"/>
  </conditionalFormatting>
  <conditionalFormatting sqref="NJT101">
    <cfRule type="duplicateValues" dxfId="0" priority="3386"/>
  </conditionalFormatting>
  <conditionalFormatting sqref="NKA101">
    <cfRule type="duplicateValues" dxfId="0" priority="3385"/>
  </conditionalFormatting>
  <conditionalFormatting sqref="NKH101">
    <cfRule type="duplicateValues" dxfId="0" priority="3384"/>
  </conditionalFormatting>
  <conditionalFormatting sqref="NKO101">
    <cfRule type="duplicateValues" dxfId="0" priority="3383"/>
  </conditionalFormatting>
  <conditionalFormatting sqref="NKV101">
    <cfRule type="duplicateValues" dxfId="0" priority="3382"/>
  </conditionalFormatting>
  <conditionalFormatting sqref="NLC101">
    <cfRule type="duplicateValues" dxfId="0" priority="3381"/>
  </conditionalFormatting>
  <conditionalFormatting sqref="NLJ101">
    <cfRule type="duplicateValues" dxfId="0" priority="3380"/>
  </conditionalFormatting>
  <conditionalFormatting sqref="NLQ101">
    <cfRule type="duplicateValues" dxfId="0" priority="3379"/>
  </conditionalFormatting>
  <conditionalFormatting sqref="NLX101">
    <cfRule type="duplicateValues" dxfId="0" priority="3378"/>
  </conditionalFormatting>
  <conditionalFormatting sqref="NME101">
    <cfRule type="duplicateValues" dxfId="0" priority="3377"/>
  </conditionalFormatting>
  <conditionalFormatting sqref="NML101">
    <cfRule type="duplicateValues" dxfId="0" priority="3376"/>
  </conditionalFormatting>
  <conditionalFormatting sqref="NMS101">
    <cfRule type="duplicateValues" dxfId="0" priority="3375"/>
  </conditionalFormatting>
  <conditionalFormatting sqref="NMZ101">
    <cfRule type="duplicateValues" dxfId="0" priority="3374"/>
  </conditionalFormatting>
  <conditionalFormatting sqref="NNG101">
    <cfRule type="duplicateValues" dxfId="0" priority="3373"/>
  </conditionalFormatting>
  <conditionalFormatting sqref="NNN101">
    <cfRule type="duplicateValues" dxfId="0" priority="3372"/>
  </conditionalFormatting>
  <conditionalFormatting sqref="NNU101">
    <cfRule type="duplicateValues" dxfId="0" priority="3371"/>
  </conditionalFormatting>
  <conditionalFormatting sqref="NOB101">
    <cfRule type="duplicateValues" dxfId="0" priority="3370"/>
  </conditionalFormatting>
  <conditionalFormatting sqref="NOI101">
    <cfRule type="duplicateValues" dxfId="0" priority="3369"/>
  </conditionalFormatting>
  <conditionalFormatting sqref="NOP101">
    <cfRule type="duplicateValues" dxfId="0" priority="3368"/>
  </conditionalFormatting>
  <conditionalFormatting sqref="NOW101">
    <cfRule type="duplicateValues" dxfId="0" priority="3367"/>
  </conditionalFormatting>
  <conditionalFormatting sqref="NPD101">
    <cfRule type="duplicateValues" dxfId="0" priority="3366"/>
  </conditionalFormatting>
  <conditionalFormatting sqref="NPK101">
    <cfRule type="duplicateValues" dxfId="0" priority="3365"/>
  </conditionalFormatting>
  <conditionalFormatting sqref="NPR101">
    <cfRule type="duplicateValues" dxfId="0" priority="3364"/>
  </conditionalFormatting>
  <conditionalFormatting sqref="NPY101">
    <cfRule type="duplicateValues" dxfId="0" priority="3363"/>
  </conditionalFormatting>
  <conditionalFormatting sqref="NQF101">
    <cfRule type="duplicateValues" dxfId="0" priority="3362"/>
  </conditionalFormatting>
  <conditionalFormatting sqref="NQM101">
    <cfRule type="duplicateValues" dxfId="0" priority="3361"/>
  </conditionalFormatting>
  <conditionalFormatting sqref="NQT101">
    <cfRule type="duplicateValues" dxfId="0" priority="3360"/>
  </conditionalFormatting>
  <conditionalFormatting sqref="NRA101">
    <cfRule type="duplicateValues" dxfId="0" priority="3359"/>
  </conditionalFormatting>
  <conditionalFormatting sqref="NRH101">
    <cfRule type="duplicateValues" dxfId="0" priority="3358"/>
  </conditionalFormatting>
  <conditionalFormatting sqref="NRO101">
    <cfRule type="duplicateValues" dxfId="0" priority="3357"/>
  </conditionalFormatting>
  <conditionalFormatting sqref="NRV101">
    <cfRule type="duplicateValues" dxfId="0" priority="3356"/>
  </conditionalFormatting>
  <conditionalFormatting sqref="NSC101">
    <cfRule type="duplicateValues" dxfId="0" priority="3355"/>
  </conditionalFormatting>
  <conditionalFormatting sqref="NSJ101">
    <cfRule type="duplicateValues" dxfId="0" priority="3354"/>
  </conditionalFormatting>
  <conditionalFormatting sqref="NSQ101">
    <cfRule type="duplicateValues" dxfId="0" priority="3353"/>
  </conditionalFormatting>
  <conditionalFormatting sqref="NSX101">
    <cfRule type="duplicateValues" dxfId="0" priority="3352"/>
  </conditionalFormatting>
  <conditionalFormatting sqref="NTE101">
    <cfRule type="duplicateValues" dxfId="0" priority="3351"/>
  </conditionalFormatting>
  <conditionalFormatting sqref="NTL101">
    <cfRule type="duplicateValues" dxfId="0" priority="3350"/>
  </conditionalFormatting>
  <conditionalFormatting sqref="NTS101">
    <cfRule type="duplicateValues" dxfId="0" priority="3349"/>
  </conditionalFormatting>
  <conditionalFormatting sqref="NTZ101">
    <cfRule type="duplicateValues" dxfId="0" priority="3348"/>
  </conditionalFormatting>
  <conditionalFormatting sqref="NUG101">
    <cfRule type="duplicateValues" dxfId="0" priority="3347"/>
  </conditionalFormatting>
  <conditionalFormatting sqref="NUN101">
    <cfRule type="duplicateValues" dxfId="0" priority="3346"/>
  </conditionalFormatting>
  <conditionalFormatting sqref="NUU101">
    <cfRule type="duplicateValues" dxfId="0" priority="3345"/>
  </conditionalFormatting>
  <conditionalFormatting sqref="NVB101">
    <cfRule type="duplicateValues" dxfId="0" priority="3344"/>
  </conditionalFormatting>
  <conditionalFormatting sqref="NVI101">
    <cfRule type="duplicateValues" dxfId="0" priority="3343"/>
  </conditionalFormatting>
  <conditionalFormatting sqref="NVP101">
    <cfRule type="duplicateValues" dxfId="0" priority="3342"/>
  </conditionalFormatting>
  <conditionalFormatting sqref="NVW101">
    <cfRule type="duplicateValues" dxfId="0" priority="3341"/>
  </conditionalFormatting>
  <conditionalFormatting sqref="NWD101">
    <cfRule type="duplicateValues" dxfId="0" priority="3340"/>
  </conditionalFormatting>
  <conditionalFormatting sqref="NWK101">
    <cfRule type="duplicateValues" dxfId="0" priority="3339"/>
  </conditionalFormatting>
  <conditionalFormatting sqref="NWR101">
    <cfRule type="duplicateValues" dxfId="0" priority="3338"/>
  </conditionalFormatting>
  <conditionalFormatting sqref="NWY101">
    <cfRule type="duplicateValues" dxfId="0" priority="3337"/>
  </conditionalFormatting>
  <conditionalFormatting sqref="NXF101">
    <cfRule type="duplicateValues" dxfId="0" priority="3336"/>
  </conditionalFormatting>
  <conditionalFormatting sqref="NXM101">
    <cfRule type="duplicateValues" dxfId="0" priority="3335"/>
  </conditionalFormatting>
  <conditionalFormatting sqref="NXT101">
    <cfRule type="duplicateValues" dxfId="0" priority="3334"/>
  </conditionalFormatting>
  <conditionalFormatting sqref="NYA101">
    <cfRule type="duplicateValues" dxfId="0" priority="3333"/>
  </conditionalFormatting>
  <conditionalFormatting sqref="NYH101">
    <cfRule type="duplicateValues" dxfId="0" priority="3332"/>
  </conditionalFormatting>
  <conditionalFormatting sqref="NYO101">
    <cfRule type="duplicateValues" dxfId="0" priority="3331"/>
  </conditionalFormatting>
  <conditionalFormatting sqref="NYV101">
    <cfRule type="duplicateValues" dxfId="0" priority="3330"/>
  </conditionalFormatting>
  <conditionalFormatting sqref="NZC101">
    <cfRule type="duplicateValues" dxfId="0" priority="3329"/>
  </conditionalFormatting>
  <conditionalFormatting sqref="NZJ101">
    <cfRule type="duplicateValues" dxfId="0" priority="3328"/>
  </conditionalFormatting>
  <conditionalFormatting sqref="NZQ101">
    <cfRule type="duplicateValues" dxfId="0" priority="3327"/>
  </conditionalFormatting>
  <conditionalFormatting sqref="NZX101">
    <cfRule type="duplicateValues" dxfId="0" priority="3326"/>
  </conditionalFormatting>
  <conditionalFormatting sqref="OAE101">
    <cfRule type="duplicateValues" dxfId="0" priority="3325"/>
  </conditionalFormatting>
  <conditionalFormatting sqref="OAL101">
    <cfRule type="duplicateValues" dxfId="0" priority="3324"/>
  </conditionalFormatting>
  <conditionalFormatting sqref="OAS101">
    <cfRule type="duplicateValues" dxfId="0" priority="3323"/>
  </conditionalFormatting>
  <conditionalFormatting sqref="OAZ101">
    <cfRule type="duplicateValues" dxfId="0" priority="3322"/>
  </conditionalFormatting>
  <conditionalFormatting sqref="OBG101">
    <cfRule type="duplicateValues" dxfId="0" priority="3321"/>
  </conditionalFormatting>
  <conditionalFormatting sqref="OBN101">
    <cfRule type="duplicateValues" dxfId="0" priority="3320"/>
  </conditionalFormatting>
  <conditionalFormatting sqref="OBU101">
    <cfRule type="duplicateValues" dxfId="0" priority="3319"/>
  </conditionalFormatting>
  <conditionalFormatting sqref="OCB101">
    <cfRule type="duplicateValues" dxfId="0" priority="3318"/>
  </conditionalFormatting>
  <conditionalFormatting sqref="OCI101">
    <cfRule type="duplicateValues" dxfId="0" priority="3317"/>
  </conditionalFormatting>
  <conditionalFormatting sqref="OCP101">
    <cfRule type="duplicateValues" dxfId="0" priority="3316"/>
  </conditionalFormatting>
  <conditionalFormatting sqref="OCW101">
    <cfRule type="duplicateValues" dxfId="0" priority="3315"/>
  </conditionalFormatting>
  <conditionalFormatting sqref="ODD101">
    <cfRule type="duplicateValues" dxfId="0" priority="3314"/>
  </conditionalFormatting>
  <conditionalFormatting sqref="ODK101">
    <cfRule type="duplicateValues" dxfId="0" priority="3313"/>
  </conditionalFormatting>
  <conditionalFormatting sqref="ODR101">
    <cfRule type="duplicateValues" dxfId="0" priority="3312"/>
  </conditionalFormatting>
  <conditionalFormatting sqref="ODY101">
    <cfRule type="duplicateValues" dxfId="0" priority="3311"/>
  </conditionalFormatting>
  <conditionalFormatting sqref="OEF101">
    <cfRule type="duplicateValues" dxfId="0" priority="3310"/>
  </conditionalFormatting>
  <conditionalFormatting sqref="OEM101">
    <cfRule type="duplicateValues" dxfId="0" priority="3309"/>
  </conditionalFormatting>
  <conditionalFormatting sqref="OET101">
    <cfRule type="duplicateValues" dxfId="0" priority="3308"/>
  </conditionalFormatting>
  <conditionalFormatting sqref="OFA101">
    <cfRule type="duplicateValues" dxfId="0" priority="3307"/>
  </conditionalFormatting>
  <conditionalFormatting sqref="OFH101">
    <cfRule type="duplicateValues" dxfId="0" priority="3306"/>
  </conditionalFormatting>
  <conditionalFormatting sqref="OFO101">
    <cfRule type="duplicateValues" dxfId="0" priority="3305"/>
  </conditionalFormatting>
  <conditionalFormatting sqref="OFV101">
    <cfRule type="duplicateValues" dxfId="0" priority="3304"/>
  </conditionalFormatting>
  <conditionalFormatting sqref="OGC101">
    <cfRule type="duplicateValues" dxfId="0" priority="3303"/>
  </conditionalFormatting>
  <conditionalFormatting sqref="OGJ101">
    <cfRule type="duplicateValues" dxfId="0" priority="3302"/>
  </conditionalFormatting>
  <conditionalFormatting sqref="OGQ101">
    <cfRule type="duplicateValues" dxfId="0" priority="3301"/>
  </conditionalFormatting>
  <conditionalFormatting sqref="OGX101">
    <cfRule type="duplicateValues" dxfId="0" priority="3300"/>
  </conditionalFormatting>
  <conditionalFormatting sqref="OHE101">
    <cfRule type="duplicateValues" dxfId="0" priority="3299"/>
  </conditionalFormatting>
  <conditionalFormatting sqref="OHL101">
    <cfRule type="duplicateValues" dxfId="0" priority="3298"/>
  </conditionalFormatting>
  <conditionalFormatting sqref="OHS101">
    <cfRule type="duplicateValues" dxfId="0" priority="3297"/>
  </conditionalFormatting>
  <conditionalFormatting sqref="OHZ101">
    <cfRule type="duplicateValues" dxfId="0" priority="3296"/>
  </conditionalFormatting>
  <conditionalFormatting sqref="OIG101">
    <cfRule type="duplicateValues" dxfId="0" priority="3295"/>
  </conditionalFormatting>
  <conditionalFormatting sqref="OIN101">
    <cfRule type="duplicateValues" dxfId="0" priority="3294"/>
  </conditionalFormatting>
  <conditionalFormatting sqref="OIU101">
    <cfRule type="duplicateValues" dxfId="0" priority="3293"/>
  </conditionalFormatting>
  <conditionalFormatting sqref="OJB101">
    <cfRule type="duplicateValues" dxfId="0" priority="3292"/>
  </conditionalFormatting>
  <conditionalFormatting sqref="OJI101">
    <cfRule type="duplicateValues" dxfId="0" priority="3291"/>
  </conditionalFormatting>
  <conditionalFormatting sqref="OJP101">
    <cfRule type="duplicateValues" dxfId="0" priority="3290"/>
  </conditionalFormatting>
  <conditionalFormatting sqref="OJW101">
    <cfRule type="duplicateValues" dxfId="0" priority="3289"/>
  </conditionalFormatting>
  <conditionalFormatting sqref="OKD101">
    <cfRule type="duplicateValues" dxfId="0" priority="3288"/>
  </conditionalFormatting>
  <conditionalFormatting sqref="OKK101">
    <cfRule type="duplicateValues" dxfId="0" priority="3287"/>
  </conditionalFormatting>
  <conditionalFormatting sqref="OKR101">
    <cfRule type="duplicateValues" dxfId="0" priority="3286"/>
  </conditionalFormatting>
  <conditionalFormatting sqref="OKY101">
    <cfRule type="duplicateValues" dxfId="0" priority="3285"/>
  </conditionalFormatting>
  <conditionalFormatting sqref="OLF101">
    <cfRule type="duplicateValues" dxfId="0" priority="3284"/>
  </conditionalFormatting>
  <conditionalFormatting sqref="OLM101">
    <cfRule type="duplicateValues" dxfId="0" priority="3283"/>
  </conditionalFormatting>
  <conditionalFormatting sqref="OLT101">
    <cfRule type="duplicateValues" dxfId="0" priority="3282"/>
  </conditionalFormatting>
  <conditionalFormatting sqref="OMA101">
    <cfRule type="duplicateValues" dxfId="0" priority="3281"/>
  </conditionalFormatting>
  <conditionalFormatting sqref="OMH101">
    <cfRule type="duplicateValues" dxfId="0" priority="3280"/>
  </conditionalFormatting>
  <conditionalFormatting sqref="OMO101">
    <cfRule type="duplicateValues" dxfId="0" priority="3279"/>
  </conditionalFormatting>
  <conditionalFormatting sqref="OMV101">
    <cfRule type="duplicateValues" dxfId="0" priority="3278"/>
  </conditionalFormatting>
  <conditionalFormatting sqref="ONC101">
    <cfRule type="duplicateValues" dxfId="0" priority="3277"/>
  </conditionalFormatting>
  <conditionalFormatting sqref="ONJ101">
    <cfRule type="duplicateValues" dxfId="0" priority="3276"/>
  </conditionalFormatting>
  <conditionalFormatting sqref="ONQ101">
    <cfRule type="duplicateValues" dxfId="0" priority="3275"/>
  </conditionalFormatting>
  <conditionalFormatting sqref="ONX101">
    <cfRule type="duplicateValues" dxfId="0" priority="3274"/>
  </conditionalFormatting>
  <conditionalFormatting sqref="OOE101">
    <cfRule type="duplicateValues" dxfId="0" priority="3273"/>
  </conditionalFormatting>
  <conditionalFormatting sqref="OOL101">
    <cfRule type="duplicateValues" dxfId="0" priority="3272"/>
  </conditionalFormatting>
  <conditionalFormatting sqref="OOS101">
    <cfRule type="duplicateValues" dxfId="0" priority="3271"/>
  </conditionalFormatting>
  <conditionalFormatting sqref="OOZ101">
    <cfRule type="duplicateValues" dxfId="0" priority="3270"/>
  </conditionalFormatting>
  <conditionalFormatting sqref="OPG101">
    <cfRule type="duplicateValues" dxfId="0" priority="3269"/>
  </conditionalFormatting>
  <conditionalFormatting sqref="OPN101">
    <cfRule type="duplicateValues" dxfId="0" priority="3268"/>
  </conditionalFormatting>
  <conditionalFormatting sqref="OPU101">
    <cfRule type="duplicateValues" dxfId="0" priority="3267"/>
  </conditionalFormatting>
  <conditionalFormatting sqref="OQB101">
    <cfRule type="duplicateValues" dxfId="0" priority="3266"/>
  </conditionalFormatting>
  <conditionalFormatting sqref="OQI101">
    <cfRule type="duplicateValues" dxfId="0" priority="3265"/>
  </conditionalFormatting>
  <conditionalFormatting sqref="OQP101">
    <cfRule type="duplicateValues" dxfId="0" priority="3264"/>
  </conditionalFormatting>
  <conditionalFormatting sqref="OQW101">
    <cfRule type="duplicateValues" dxfId="0" priority="3263"/>
  </conditionalFormatting>
  <conditionalFormatting sqref="ORD101">
    <cfRule type="duplicateValues" dxfId="0" priority="3262"/>
  </conditionalFormatting>
  <conditionalFormatting sqref="ORK101">
    <cfRule type="duplicateValues" dxfId="0" priority="3261"/>
  </conditionalFormatting>
  <conditionalFormatting sqref="ORR101">
    <cfRule type="duplicateValues" dxfId="0" priority="3260"/>
  </conditionalFormatting>
  <conditionalFormatting sqref="ORY101">
    <cfRule type="duplicateValues" dxfId="0" priority="3259"/>
  </conditionalFormatting>
  <conditionalFormatting sqref="OSF101">
    <cfRule type="duplicateValues" dxfId="0" priority="3258"/>
  </conditionalFormatting>
  <conditionalFormatting sqref="OSM101">
    <cfRule type="duplicateValues" dxfId="0" priority="3257"/>
  </conditionalFormatting>
  <conditionalFormatting sqref="OST101">
    <cfRule type="duplicateValues" dxfId="0" priority="3256"/>
  </conditionalFormatting>
  <conditionalFormatting sqref="OTA101">
    <cfRule type="duplicateValues" dxfId="0" priority="3255"/>
  </conditionalFormatting>
  <conditionalFormatting sqref="OTH101">
    <cfRule type="duplicateValues" dxfId="0" priority="3254"/>
  </conditionalFormatting>
  <conditionalFormatting sqref="OTO101">
    <cfRule type="duplicateValues" dxfId="0" priority="3253"/>
  </conditionalFormatting>
  <conditionalFormatting sqref="OTV101">
    <cfRule type="duplicateValues" dxfId="0" priority="3252"/>
  </conditionalFormatting>
  <conditionalFormatting sqref="OUC101">
    <cfRule type="duplicateValues" dxfId="0" priority="3251"/>
  </conditionalFormatting>
  <conditionalFormatting sqref="OUJ101">
    <cfRule type="duplicateValues" dxfId="0" priority="3250"/>
  </conditionalFormatting>
  <conditionalFormatting sqref="OUQ101">
    <cfRule type="duplicateValues" dxfId="0" priority="3249"/>
  </conditionalFormatting>
  <conditionalFormatting sqref="OUX101">
    <cfRule type="duplicateValues" dxfId="0" priority="3248"/>
  </conditionalFormatting>
  <conditionalFormatting sqref="OVE101">
    <cfRule type="duplicateValues" dxfId="0" priority="3247"/>
  </conditionalFormatting>
  <conditionalFormatting sqref="OVL101">
    <cfRule type="duplicateValues" dxfId="0" priority="3246"/>
  </conditionalFormatting>
  <conditionalFormatting sqref="OVS101">
    <cfRule type="duplicateValues" dxfId="0" priority="3245"/>
  </conditionalFormatting>
  <conditionalFormatting sqref="OVZ101">
    <cfRule type="duplicateValues" dxfId="0" priority="3244"/>
  </conditionalFormatting>
  <conditionalFormatting sqref="OWG101">
    <cfRule type="duplicateValues" dxfId="0" priority="3243"/>
  </conditionalFormatting>
  <conditionalFormatting sqref="OWN101">
    <cfRule type="duplicateValues" dxfId="0" priority="3242"/>
  </conditionalFormatting>
  <conditionalFormatting sqref="OWU101">
    <cfRule type="duplicateValues" dxfId="0" priority="3241"/>
  </conditionalFormatting>
  <conditionalFormatting sqref="OXB101">
    <cfRule type="duplicateValues" dxfId="0" priority="3240"/>
  </conditionalFormatting>
  <conditionalFormatting sqref="OXI101">
    <cfRule type="duplicateValues" dxfId="0" priority="3239"/>
  </conditionalFormatting>
  <conditionalFormatting sqref="OXP101">
    <cfRule type="duplicateValues" dxfId="0" priority="3238"/>
  </conditionalFormatting>
  <conditionalFormatting sqref="OXW101">
    <cfRule type="duplicateValues" dxfId="0" priority="3237"/>
  </conditionalFormatting>
  <conditionalFormatting sqref="OYD101">
    <cfRule type="duplicateValues" dxfId="0" priority="3236"/>
  </conditionalFormatting>
  <conditionalFormatting sqref="OYK101">
    <cfRule type="duplicateValues" dxfId="0" priority="3235"/>
  </conditionalFormatting>
  <conditionalFormatting sqref="OYR101">
    <cfRule type="duplicateValues" dxfId="0" priority="3234"/>
  </conditionalFormatting>
  <conditionalFormatting sqref="OYY101">
    <cfRule type="duplicateValues" dxfId="0" priority="3233"/>
  </conditionalFormatting>
  <conditionalFormatting sqref="OZF101">
    <cfRule type="duplicateValues" dxfId="0" priority="3232"/>
  </conditionalFormatting>
  <conditionalFormatting sqref="OZM101">
    <cfRule type="duplicateValues" dxfId="0" priority="3231"/>
  </conditionalFormatting>
  <conditionalFormatting sqref="OZT101">
    <cfRule type="duplicateValues" dxfId="0" priority="3230"/>
  </conditionalFormatting>
  <conditionalFormatting sqref="PAA101">
    <cfRule type="duplicateValues" dxfId="0" priority="3229"/>
  </conditionalFormatting>
  <conditionalFormatting sqref="PAH101">
    <cfRule type="duplicateValues" dxfId="0" priority="3228"/>
  </conditionalFormatting>
  <conditionalFormatting sqref="PAO101">
    <cfRule type="duplicateValues" dxfId="0" priority="3227"/>
  </conditionalFormatting>
  <conditionalFormatting sqref="PAV101">
    <cfRule type="duplicateValues" dxfId="0" priority="3226"/>
  </conditionalFormatting>
  <conditionalFormatting sqref="PBC101">
    <cfRule type="duplicateValues" dxfId="0" priority="3225"/>
  </conditionalFormatting>
  <conditionalFormatting sqref="PBJ101">
    <cfRule type="duplicateValues" dxfId="0" priority="3224"/>
  </conditionalFormatting>
  <conditionalFormatting sqref="PBQ101">
    <cfRule type="duplicateValues" dxfId="0" priority="3223"/>
  </conditionalFormatting>
  <conditionalFormatting sqref="PBX101">
    <cfRule type="duplicateValues" dxfId="0" priority="3222"/>
  </conditionalFormatting>
  <conditionalFormatting sqref="PCE101">
    <cfRule type="duplicateValues" dxfId="0" priority="3221"/>
  </conditionalFormatting>
  <conditionalFormatting sqref="PCL101">
    <cfRule type="duplicateValues" dxfId="0" priority="3220"/>
  </conditionalFormatting>
  <conditionalFormatting sqref="PCS101">
    <cfRule type="duplicateValues" dxfId="0" priority="3219"/>
  </conditionalFormatting>
  <conditionalFormatting sqref="PCZ101">
    <cfRule type="duplicateValues" dxfId="0" priority="3218"/>
  </conditionalFormatting>
  <conditionalFormatting sqref="PDG101">
    <cfRule type="duplicateValues" dxfId="0" priority="3217"/>
  </conditionalFormatting>
  <conditionalFormatting sqref="PDN101">
    <cfRule type="duplicateValues" dxfId="0" priority="3216"/>
  </conditionalFormatting>
  <conditionalFormatting sqref="PDU101">
    <cfRule type="duplicateValues" dxfId="0" priority="3215"/>
  </conditionalFormatting>
  <conditionalFormatting sqref="PEB101">
    <cfRule type="duplicateValues" dxfId="0" priority="3214"/>
  </conditionalFormatting>
  <conditionalFormatting sqref="PEI101">
    <cfRule type="duplicateValues" dxfId="0" priority="3213"/>
  </conditionalFormatting>
  <conditionalFormatting sqref="PEP101">
    <cfRule type="duplicateValues" dxfId="0" priority="3212"/>
  </conditionalFormatting>
  <conditionalFormatting sqref="PEW101">
    <cfRule type="duplicateValues" dxfId="0" priority="3211"/>
  </conditionalFormatting>
  <conditionalFormatting sqref="PFD101">
    <cfRule type="duplicateValues" dxfId="0" priority="3210"/>
  </conditionalFormatting>
  <conditionalFormatting sqref="PFK101">
    <cfRule type="duplicateValues" dxfId="0" priority="3209"/>
  </conditionalFormatting>
  <conditionalFormatting sqref="PFR101">
    <cfRule type="duplicateValues" dxfId="0" priority="3208"/>
  </conditionalFormatting>
  <conditionalFormatting sqref="PFY101">
    <cfRule type="duplicateValues" dxfId="0" priority="3207"/>
  </conditionalFormatting>
  <conditionalFormatting sqref="PGF101">
    <cfRule type="duplicateValues" dxfId="0" priority="3206"/>
  </conditionalFormatting>
  <conditionalFormatting sqref="PGM101">
    <cfRule type="duplicateValues" dxfId="0" priority="3205"/>
  </conditionalFormatting>
  <conditionalFormatting sqref="PGT101">
    <cfRule type="duplicateValues" dxfId="0" priority="3204"/>
  </conditionalFormatting>
  <conditionalFormatting sqref="PHA101">
    <cfRule type="duplicateValues" dxfId="0" priority="3203"/>
  </conditionalFormatting>
  <conditionalFormatting sqref="PHH101">
    <cfRule type="duplicateValues" dxfId="0" priority="3202"/>
  </conditionalFormatting>
  <conditionalFormatting sqref="PHO101">
    <cfRule type="duplicateValues" dxfId="0" priority="3201"/>
  </conditionalFormatting>
  <conditionalFormatting sqref="PHV101">
    <cfRule type="duplicateValues" dxfId="0" priority="3200"/>
  </conditionalFormatting>
  <conditionalFormatting sqref="PIC101">
    <cfRule type="duplicateValues" dxfId="0" priority="3199"/>
  </conditionalFormatting>
  <conditionalFormatting sqref="PIJ101">
    <cfRule type="duplicateValues" dxfId="0" priority="3198"/>
  </conditionalFormatting>
  <conditionalFormatting sqref="PIQ101">
    <cfRule type="duplicateValues" dxfId="0" priority="3197"/>
  </conditionalFormatting>
  <conditionalFormatting sqref="PIX101">
    <cfRule type="duplicateValues" dxfId="0" priority="3196"/>
  </conditionalFormatting>
  <conditionalFormatting sqref="PJE101">
    <cfRule type="duplicateValues" dxfId="0" priority="3195"/>
  </conditionalFormatting>
  <conditionalFormatting sqref="PJL101">
    <cfRule type="duplicateValues" dxfId="0" priority="3194"/>
  </conditionalFormatting>
  <conditionalFormatting sqref="PJS101">
    <cfRule type="duplicateValues" dxfId="0" priority="3193"/>
  </conditionalFormatting>
  <conditionalFormatting sqref="PJZ101">
    <cfRule type="duplicateValues" dxfId="0" priority="3192"/>
  </conditionalFormatting>
  <conditionalFormatting sqref="PKG101">
    <cfRule type="duplicateValues" dxfId="0" priority="3191"/>
  </conditionalFormatting>
  <conditionalFormatting sqref="PKN101">
    <cfRule type="duplicateValues" dxfId="0" priority="3190"/>
  </conditionalFormatting>
  <conditionalFormatting sqref="PKU101">
    <cfRule type="duplicateValues" dxfId="0" priority="3189"/>
  </conditionalFormatting>
  <conditionalFormatting sqref="PLB101">
    <cfRule type="duplicateValues" dxfId="0" priority="3188"/>
  </conditionalFormatting>
  <conditionalFormatting sqref="PLI101">
    <cfRule type="duplicateValues" dxfId="0" priority="3187"/>
  </conditionalFormatting>
  <conditionalFormatting sqref="PLP101">
    <cfRule type="duplicateValues" dxfId="0" priority="3186"/>
  </conditionalFormatting>
  <conditionalFormatting sqref="PLW101">
    <cfRule type="duplicateValues" dxfId="0" priority="3185"/>
  </conditionalFormatting>
  <conditionalFormatting sqref="PMD101">
    <cfRule type="duplicateValues" dxfId="0" priority="3184"/>
  </conditionalFormatting>
  <conditionalFormatting sqref="PMK101">
    <cfRule type="duplicateValues" dxfId="0" priority="3183"/>
  </conditionalFormatting>
  <conditionalFormatting sqref="PMR101">
    <cfRule type="duplicateValues" dxfId="0" priority="3182"/>
  </conditionalFormatting>
  <conditionalFormatting sqref="PMY101">
    <cfRule type="duplicateValues" dxfId="0" priority="3181"/>
  </conditionalFormatting>
  <conditionalFormatting sqref="PNF101">
    <cfRule type="duplicateValues" dxfId="0" priority="3180"/>
  </conditionalFormatting>
  <conditionalFormatting sqref="PNM101">
    <cfRule type="duplicateValues" dxfId="0" priority="3179"/>
  </conditionalFormatting>
  <conditionalFormatting sqref="PNT101">
    <cfRule type="duplicateValues" dxfId="0" priority="3178"/>
  </conditionalFormatting>
  <conditionalFormatting sqref="POA101">
    <cfRule type="duplicateValues" dxfId="0" priority="3177"/>
  </conditionalFormatting>
  <conditionalFormatting sqref="POH101">
    <cfRule type="duplicateValues" dxfId="0" priority="3176"/>
  </conditionalFormatting>
  <conditionalFormatting sqref="POO101">
    <cfRule type="duplicateValues" dxfId="0" priority="3175"/>
  </conditionalFormatting>
  <conditionalFormatting sqref="POV101">
    <cfRule type="duplicateValues" dxfId="0" priority="3174"/>
  </conditionalFormatting>
  <conditionalFormatting sqref="PPC101">
    <cfRule type="duplicateValues" dxfId="0" priority="3173"/>
  </conditionalFormatting>
  <conditionalFormatting sqref="PPJ101">
    <cfRule type="duplicateValues" dxfId="0" priority="3172"/>
  </conditionalFormatting>
  <conditionalFormatting sqref="PPQ101">
    <cfRule type="duplicateValues" dxfId="0" priority="3171"/>
  </conditionalFormatting>
  <conditionalFormatting sqref="PPX101">
    <cfRule type="duplicateValues" dxfId="0" priority="3170"/>
  </conditionalFormatting>
  <conditionalFormatting sqref="PQE101">
    <cfRule type="duplicateValues" dxfId="0" priority="3169"/>
  </conditionalFormatting>
  <conditionalFormatting sqref="PQL101">
    <cfRule type="duplicateValues" dxfId="0" priority="3168"/>
  </conditionalFormatting>
  <conditionalFormatting sqref="PQS101">
    <cfRule type="duplicateValues" dxfId="0" priority="3167"/>
  </conditionalFormatting>
  <conditionalFormatting sqref="PQZ101">
    <cfRule type="duplicateValues" dxfId="0" priority="3166"/>
  </conditionalFormatting>
  <conditionalFormatting sqref="PRG101">
    <cfRule type="duplicateValues" dxfId="0" priority="3165"/>
  </conditionalFormatting>
  <conditionalFormatting sqref="PRN101">
    <cfRule type="duplicateValues" dxfId="0" priority="3164"/>
  </conditionalFormatting>
  <conditionalFormatting sqref="PRU101">
    <cfRule type="duplicateValues" dxfId="0" priority="3163"/>
  </conditionalFormatting>
  <conditionalFormatting sqref="PSB101">
    <cfRule type="duplicateValues" dxfId="0" priority="3162"/>
  </conditionalFormatting>
  <conditionalFormatting sqref="PSI101">
    <cfRule type="duplicateValues" dxfId="0" priority="3161"/>
  </conditionalFormatting>
  <conditionalFormatting sqref="PSP101">
    <cfRule type="duplicateValues" dxfId="0" priority="3160"/>
  </conditionalFormatting>
  <conditionalFormatting sqref="PSW101">
    <cfRule type="duplicateValues" dxfId="0" priority="3159"/>
  </conditionalFormatting>
  <conditionalFormatting sqref="PTD101">
    <cfRule type="duplicateValues" dxfId="0" priority="3158"/>
  </conditionalFormatting>
  <conditionalFormatting sqref="PTK101">
    <cfRule type="duplicateValues" dxfId="0" priority="3157"/>
  </conditionalFormatting>
  <conditionalFormatting sqref="PTR101">
    <cfRule type="duplicateValues" dxfId="0" priority="3156"/>
  </conditionalFormatting>
  <conditionalFormatting sqref="PTY101">
    <cfRule type="duplicateValues" dxfId="0" priority="3155"/>
  </conditionalFormatting>
  <conditionalFormatting sqref="PUF101">
    <cfRule type="duplicateValues" dxfId="0" priority="3154"/>
  </conditionalFormatting>
  <conditionalFormatting sqref="PUM101">
    <cfRule type="duplicateValues" dxfId="0" priority="3153"/>
  </conditionalFormatting>
  <conditionalFormatting sqref="PUT101">
    <cfRule type="duplicateValues" dxfId="0" priority="3152"/>
  </conditionalFormatting>
  <conditionalFormatting sqref="PVA101">
    <cfRule type="duplicateValues" dxfId="0" priority="3151"/>
  </conditionalFormatting>
  <conditionalFormatting sqref="PVH101">
    <cfRule type="duplicateValues" dxfId="0" priority="3150"/>
  </conditionalFormatting>
  <conditionalFormatting sqref="PVO101">
    <cfRule type="duplicateValues" dxfId="0" priority="3149"/>
  </conditionalFormatting>
  <conditionalFormatting sqref="PVV101">
    <cfRule type="duplicateValues" dxfId="0" priority="3148"/>
  </conditionalFormatting>
  <conditionalFormatting sqref="PWC101">
    <cfRule type="duplicateValues" dxfId="0" priority="3147"/>
  </conditionalFormatting>
  <conditionalFormatting sqref="PWJ101">
    <cfRule type="duplicateValues" dxfId="0" priority="3146"/>
  </conditionalFormatting>
  <conditionalFormatting sqref="PWQ101">
    <cfRule type="duplicateValues" dxfId="0" priority="3145"/>
  </conditionalFormatting>
  <conditionalFormatting sqref="PWX101">
    <cfRule type="duplicateValues" dxfId="0" priority="3144"/>
  </conditionalFormatting>
  <conditionalFormatting sqref="PXE101">
    <cfRule type="duplicateValues" dxfId="0" priority="3143"/>
  </conditionalFormatting>
  <conditionalFormatting sqref="PXL101">
    <cfRule type="duplicateValues" dxfId="0" priority="3142"/>
  </conditionalFormatting>
  <conditionalFormatting sqref="PXS101">
    <cfRule type="duplicateValues" dxfId="0" priority="3141"/>
  </conditionalFormatting>
  <conditionalFormatting sqref="PXZ101">
    <cfRule type="duplicateValues" dxfId="0" priority="3140"/>
  </conditionalFormatting>
  <conditionalFormatting sqref="PYG101">
    <cfRule type="duplicateValues" dxfId="0" priority="3139"/>
  </conditionalFormatting>
  <conditionalFormatting sqref="PYN101">
    <cfRule type="duplicateValues" dxfId="0" priority="3138"/>
  </conditionalFormatting>
  <conditionalFormatting sqref="PYU101">
    <cfRule type="duplicateValues" dxfId="0" priority="3137"/>
  </conditionalFormatting>
  <conditionalFormatting sqref="PZB101">
    <cfRule type="duplicateValues" dxfId="0" priority="3136"/>
  </conditionalFormatting>
  <conditionalFormatting sqref="PZI101">
    <cfRule type="duplicateValues" dxfId="0" priority="3135"/>
  </conditionalFormatting>
  <conditionalFormatting sqref="PZP101">
    <cfRule type="duplicateValues" dxfId="0" priority="3134"/>
  </conditionalFormatting>
  <conditionalFormatting sqref="PZW101">
    <cfRule type="duplicateValues" dxfId="0" priority="3133"/>
  </conditionalFormatting>
  <conditionalFormatting sqref="QAD101">
    <cfRule type="duplicateValues" dxfId="0" priority="3132"/>
  </conditionalFormatting>
  <conditionalFormatting sqref="QAK101">
    <cfRule type="duplicateValues" dxfId="0" priority="3131"/>
  </conditionalFormatting>
  <conditionalFormatting sqref="QAR101">
    <cfRule type="duplicateValues" dxfId="0" priority="3130"/>
  </conditionalFormatting>
  <conditionalFormatting sqref="QAY101">
    <cfRule type="duplicateValues" dxfId="0" priority="3129"/>
  </conditionalFormatting>
  <conditionalFormatting sqref="QBF101">
    <cfRule type="duplicateValues" dxfId="0" priority="3128"/>
  </conditionalFormatting>
  <conditionalFormatting sqref="QBM101">
    <cfRule type="duplicateValues" dxfId="0" priority="3127"/>
  </conditionalFormatting>
  <conditionalFormatting sqref="QBT101">
    <cfRule type="duplicateValues" dxfId="0" priority="3126"/>
  </conditionalFormatting>
  <conditionalFormatting sqref="QCA101">
    <cfRule type="duplicateValues" dxfId="0" priority="3125"/>
  </conditionalFormatting>
  <conditionalFormatting sqref="QCH101">
    <cfRule type="duplicateValues" dxfId="0" priority="3124"/>
  </conditionalFormatting>
  <conditionalFormatting sqref="QCO101">
    <cfRule type="duplicateValues" dxfId="0" priority="3123"/>
  </conditionalFormatting>
  <conditionalFormatting sqref="QCV101">
    <cfRule type="duplicateValues" dxfId="0" priority="3122"/>
  </conditionalFormatting>
  <conditionalFormatting sqref="QDC101">
    <cfRule type="duplicateValues" dxfId="0" priority="3121"/>
  </conditionalFormatting>
  <conditionalFormatting sqref="QDJ101">
    <cfRule type="duplicateValues" dxfId="0" priority="3120"/>
  </conditionalFormatting>
  <conditionalFormatting sqref="QDQ101">
    <cfRule type="duplicateValues" dxfId="0" priority="3119"/>
  </conditionalFormatting>
  <conditionalFormatting sqref="QDX101">
    <cfRule type="duplicateValues" dxfId="0" priority="3118"/>
  </conditionalFormatting>
  <conditionalFormatting sqref="QEE101">
    <cfRule type="duplicateValues" dxfId="0" priority="3117"/>
  </conditionalFormatting>
  <conditionalFormatting sqref="QEL101">
    <cfRule type="duplicateValues" dxfId="0" priority="3116"/>
  </conditionalFormatting>
  <conditionalFormatting sqref="QES101">
    <cfRule type="duplicateValues" dxfId="0" priority="3115"/>
  </conditionalFormatting>
  <conditionalFormatting sqref="QEZ101">
    <cfRule type="duplicateValues" dxfId="0" priority="3114"/>
  </conditionalFormatting>
  <conditionalFormatting sqref="QFG101">
    <cfRule type="duplicateValues" dxfId="0" priority="3113"/>
  </conditionalFormatting>
  <conditionalFormatting sqref="QFN101">
    <cfRule type="duplicateValues" dxfId="0" priority="3112"/>
  </conditionalFormatting>
  <conditionalFormatting sqref="QFU101">
    <cfRule type="duplicateValues" dxfId="0" priority="3111"/>
  </conditionalFormatting>
  <conditionalFormatting sqref="QGB101">
    <cfRule type="duplicateValues" dxfId="0" priority="3110"/>
  </conditionalFormatting>
  <conditionalFormatting sqref="QGI101">
    <cfRule type="duplicateValues" dxfId="0" priority="3109"/>
  </conditionalFormatting>
  <conditionalFormatting sqref="QGP101">
    <cfRule type="duplicateValues" dxfId="0" priority="3108"/>
  </conditionalFormatting>
  <conditionalFormatting sqref="QGW101">
    <cfRule type="duplicateValues" dxfId="0" priority="3107"/>
  </conditionalFormatting>
  <conditionalFormatting sqref="QHD101">
    <cfRule type="duplicateValues" dxfId="0" priority="3106"/>
  </conditionalFormatting>
  <conditionalFormatting sqref="QHK101">
    <cfRule type="duplicateValues" dxfId="0" priority="3105"/>
  </conditionalFormatting>
  <conditionalFormatting sqref="QHR101">
    <cfRule type="duplicateValues" dxfId="0" priority="3104"/>
  </conditionalFormatting>
  <conditionalFormatting sqref="QHY101">
    <cfRule type="duplicateValues" dxfId="0" priority="3103"/>
  </conditionalFormatting>
  <conditionalFormatting sqref="QIF101">
    <cfRule type="duplicateValues" dxfId="0" priority="3102"/>
  </conditionalFormatting>
  <conditionalFormatting sqref="QIM101">
    <cfRule type="duplicateValues" dxfId="0" priority="3101"/>
  </conditionalFormatting>
  <conditionalFormatting sqref="QIT101">
    <cfRule type="duplicateValues" dxfId="0" priority="3100"/>
  </conditionalFormatting>
  <conditionalFormatting sqref="QJA101">
    <cfRule type="duplicateValues" dxfId="0" priority="3099"/>
  </conditionalFormatting>
  <conditionalFormatting sqref="QJH101">
    <cfRule type="duplicateValues" dxfId="0" priority="3098"/>
  </conditionalFormatting>
  <conditionalFormatting sqref="QJO101">
    <cfRule type="duplicateValues" dxfId="0" priority="3097"/>
  </conditionalFormatting>
  <conditionalFormatting sqref="QJV101">
    <cfRule type="duplicateValues" dxfId="0" priority="3096"/>
  </conditionalFormatting>
  <conditionalFormatting sqref="QKC101">
    <cfRule type="duplicateValues" dxfId="0" priority="3095"/>
  </conditionalFormatting>
  <conditionalFormatting sqref="QKJ101">
    <cfRule type="duplicateValues" dxfId="0" priority="3094"/>
  </conditionalFormatting>
  <conditionalFormatting sqref="QKQ101">
    <cfRule type="duplicateValues" dxfId="0" priority="3093"/>
  </conditionalFormatting>
  <conditionalFormatting sqref="QKX101">
    <cfRule type="duplicateValues" dxfId="0" priority="3092"/>
  </conditionalFormatting>
  <conditionalFormatting sqref="QLE101">
    <cfRule type="duplicateValues" dxfId="0" priority="3091"/>
  </conditionalFormatting>
  <conditionalFormatting sqref="QLL101">
    <cfRule type="duplicateValues" dxfId="0" priority="3090"/>
  </conditionalFormatting>
  <conditionalFormatting sqref="QLS101">
    <cfRule type="duplicateValues" dxfId="0" priority="3089"/>
  </conditionalFormatting>
  <conditionalFormatting sqref="QLZ101">
    <cfRule type="duplicateValues" dxfId="0" priority="3088"/>
  </conditionalFormatting>
  <conditionalFormatting sqref="QMG101">
    <cfRule type="duplicateValues" dxfId="0" priority="3087"/>
  </conditionalFormatting>
  <conditionalFormatting sqref="QMN101">
    <cfRule type="duplicateValues" dxfId="0" priority="3086"/>
  </conditionalFormatting>
  <conditionalFormatting sqref="QMU101">
    <cfRule type="duplicateValues" dxfId="0" priority="3085"/>
  </conditionalFormatting>
  <conditionalFormatting sqref="QNB101">
    <cfRule type="duplicateValues" dxfId="0" priority="3084"/>
  </conditionalFormatting>
  <conditionalFormatting sqref="QNI101">
    <cfRule type="duplicateValues" dxfId="0" priority="3083"/>
  </conditionalFormatting>
  <conditionalFormatting sqref="QNP101">
    <cfRule type="duplicateValues" dxfId="0" priority="3082"/>
  </conditionalFormatting>
  <conditionalFormatting sqref="QNW101">
    <cfRule type="duplicateValues" dxfId="0" priority="3081"/>
  </conditionalFormatting>
  <conditionalFormatting sqref="QOD101">
    <cfRule type="duplicateValues" dxfId="0" priority="3080"/>
  </conditionalFormatting>
  <conditionalFormatting sqref="QOK101">
    <cfRule type="duplicateValues" dxfId="0" priority="3079"/>
  </conditionalFormatting>
  <conditionalFormatting sqref="QOR101">
    <cfRule type="duplicateValues" dxfId="0" priority="3078"/>
  </conditionalFormatting>
  <conditionalFormatting sqref="QOY101">
    <cfRule type="duplicateValues" dxfId="0" priority="3077"/>
  </conditionalFormatting>
  <conditionalFormatting sqref="QPF101">
    <cfRule type="duplicateValues" dxfId="0" priority="3076"/>
  </conditionalFormatting>
  <conditionalFormatting sqref="QPM101">
    <cfRule type="duplicateValues" dxfId="0" priority="3075"/>
  </conditionalFormatting>
  <conditionalFormatting sqref="QPT101">
    <cfRule type="duplicateValues" dxfId="0" priority="3074"/>
  </conditionalFormatting>
  <conditionalFormatting sqref="QQA101">
    <cfRule type="duplicateValues" dxfId="0" priority="3073"/>
  </conditionalFormatting>
  <conditionalFormatting sqref="QQH101">
    <cfRule type="duplicateValues" dxfId="0" priority="3072"/>
  </conditionalFormatting>
  <conditionalFormatting sqref="QQO101">
    <cfRule type="duplicateValues" dxfId="0" priority="3071"/>
  </conditionalFormatting>
  <conditionalFormatting sqref="QQV101">
    <cfRule type="duplicateValues" dxfId="0" priority="3070"/>
  </conditionalFormatting>
  <conditionalFormatting sqref="QRC101">
    <cfRule type="duplicateValues" dxfId="0" priority="3069"/>
  </conditionalFormatting>
  <conditionalFormatting sqref="QRJ101">
    <cfRule type="duplicateValues" dxfId="0" priority="3068"/>
  </conditionalFormatting>
  <conditionalFormatting sqref="QRQ101">
    <cfRule type="duplicateValues" dxfId="0" priority="3067"/>
  </conditionalFormatting>
  <conditionalFormatting sqref="QRX101">
    <cfRule type="duplicateValues" dxfId="0" priority="3066"/>
  </conditionalFormatting>
  <conditionalFormatting sqref="QSE101">
    <cfRule type="duplicateValues" dxfId="0" priority="3065"/>
  </conditionalFormatting>
  <conditionalFormatting sqref="QSL101">
    <cfRule type="duplicateValues" dxfId="0" priority="3064"/>
  </conditionalFormatting>
  <conditionalFormatting sqref="QSS101">
    <cfRule type="duplicateValues" dxfId="0" priority="3063"/>
  </conditionalFormatting>
  <conditionalFormatting sqref="QSZ101">
    <cfRule type="duplicateValues" dxfId="0" priority="3062"/>
  </conditionalFormatting>
  <conditionalFormatting sqref="QTG101">
    <cfRule type="duplicateValues" dxfId="0" priority="3061"/>
  </conditionalFormatting>
  <conditionalFormatting sqref="QTN101">
    <cfRule type="duplicateValues" dxfId="0" priority="3060"/>
  </conditionalFormatting>
  <conditionalFormatting sqref="QTU101">
    <cfRule type="duplicateValues" dxfId="0" priority="3059"/>
  </conditionalFormatting>
  <conditionalFormatting sqref="QUB101">
    <cfRule type="duplicateValues" dxfId="0" priority="3058"/>
  </conditionalFormatting>
  <conditionalFormatting sqref="QUI101">
    <cfRule type="duplicateValues" dxfId="0" priority="3057"/>
  </conditionalFormatting>
  <conditionalFormatting sqref="QUP101">
    <cfRule type="duplicateValues" dxfId="0" priority="3056"/>
  </conditionalFormatting>
  <conditionalFormatting sqref="QUW101">
    <cfRule type="duplicateValues" dxfId="0" priority="3055"/>
  </conditionalFormatting>
  <conditionalFormatting sqref="QVD101">
    <cfRule type="duplicateValues" dxfId="0" priority="3054"/>
  </conditionalFormatting>
  <conditionalFormatting sqref="QVK101">
    <cfRule type="duplicateValues" dxfId="0" priority="3053"/>
  </conditionalFormatting>
  <conditionalFormatting sqref="QVR101">
    <cfRule type="duplicateValues" dxfId="0" priority="3052"/>
  </conditionalFormatting>
  <conditionalFormatting sqref="QVY101">
    <cfRule type="duplicateValues" dxfId="0" priority="3051"/>
  </conditionalFormatting>
  <conditionalFormatting sqref="QWF101">
    <cfRule type="duplicateValues" dxfId="0" priority="3050"/>
  </conditionalFormatting>
  <conditionalFormatting sqref="QWM101">
    <cfRule type="duplicateValues" dxfId="0" priority="3049"/>
  </conditionalFormatting>
  <conditionalFormatting sqref="QWT101">
    <cfRule type="duplicateValues" dxfId="0" priority="3048"/>
  </conditionalFormatting>
  <conditionalFormatting sqref="QXA101">
    <cfRule type="duplicateValues" dxfId="0" priority="3047"/>
  </conditionalFormatting>
  <conditionalFormatting sqref="QXH101">
    <cfRule type="duplicateValues" dxfId="0" priority="3046"/>
  </conditionalFormatting>
  <conditionalFormatting sqref="QXO101">
    <cfRule type="duplicateValues" dxfId="0" priority="3045"/>
  </conditionalFormatting>
  <conditionalFormatting sqref="QXV101">
    <cfRule type="duplicateValues" dxfId="0" priority="3044"/>
  </conditionalFormatting>
  <conditionalFormatting sqref="QYC101">
    <cfRule type="duplicateValues" dxfId="0" priority="3043"/>
  </conditionalFormatting>
  <conditionalFormatting sqref="QYJ101">
    <cfRule type="duplicateValues" dxfId="0" priority="3042"/>
  </conditionalFormatting>
  <conditionalFormatting sqref="QYQ101">
    <cfRule type="duplicateValues" dxfId="0" priority="3041"/>
  </conditionalFormatting>
  <conditionalFormatting sqref="QYX101">
    <cfRule type="duplicateValues" dxfId="0" priority="3040"/>
  </conditionalFormatting>
  <conditionalFormatting sqref="QZE101">
    <cfRule type="duplicateValues" dxfId="0" priority="3039"/>
  </conditionalFormatting>
  <conditionalFormatting sqref="QZL101">
    <cfRule type="duplicateValues" dxfId="0" priority="3038"/>
  </conditionalFormatting>
  <conditionalFormatting sqref="QZS101">
    <cfRule type="duplicateValues" dxfId="0" priority="3037"/>
  </conditionalFormatting>
  <conditionalFormatting sqref="QZZ101">
    <cfRule type="duplicateValues" dxfId="0" priority="3036"/>
  </conditionalFormatting>
  <conditionalFormatting sqref="RAG101">
    <cfRule type="duplicateValues" dxfId="0" priority="3035"/>
  </conditionalFormatting>
  <conditionalFormatting sqref="RAN101">
    <cfRule type="duplicateValues" dxfId="0" priority="3034"/>
  </conditionalFormatting>
  <conditionalFormatting sqref="RAU101">
    <cfRule type="duplicateValues" dxfId="0" priority="3033"/>
  </conditionalFormatting>
  <conditionalFormatting sqref="RBB101">
    <cfRule type="duplicateValues" dxfId="0" priority="3032"/>
  </conditionalFormatting>
  <conditionalFormatting sqref="RBI101">
    <cfRule type="duplicateValues" dxfId="0" priority="3031"/>
  </conditionalFormatting>
  <conditionalFormatting sqref="RBP101">
    <cfRule type="duplicateValues" dxfId="0" priority="3030"/>
  </conditionalFormatting>
  <conditionalFormatting sqref="RBW101">
    <cfRule type="duplicateValues" dxfId="0" priority="3029"/>
  </conditionalFormatting>
  <conditionalFormatting sqref="RCD101">
    <cfRule type="duplicateValues" dxfId="0" priority="3028"/>
  </conditionalFormatting>
  <conditionalFormatting sqref="RCK101">
    <cfRule type="duplicateValues" dxfId="0" priority="3027"/>
  </conditionalFormatting>
  <conditionalFormatting sqref="RCR101">
    <cfRule type="duplicateValues" dxfId="0" priority="3026"/>
  </conditionalFormatting>
  <conditionalFormatting sqref="RCY101">
    <cfRule type="duplicateValues" dxfId="0" priority="3025"/>
  </conditionalFormatting>
  <conditionalFormatting sqref="RDF101">
    <cfRule type="duplicateValues" dxfId="0" priority="3024"/>
  </conditionalFormatting>
  <conditionalFormatting sqref="RDM101">
    <cfRule type="duplicateValues" dxfId="0" priority="3023"/>
  </conditionalFormatting>
  <conditionalFormatting sqref="RDT101">
    <cfRule type="duplicateValues" dxfId="0" priority="3022"/>
  </conditionalFormatting>
  <conditionalFormatting sqref="REA101">
    <cfRule type="duplicateValues" dxfId="0" priority="3021"/>
  </conditionalFormatting>
  <conditionalFormatting sqref="REH101">
    <cfRule type="duplicateValues" dxfId="0" priority="3020"/>
  </conditionalFormatting>
  <conditionalFormatting sqref="REO101">
    <cfRule type="duplicateValues" dxfId="0" priority="3019"/>
  </conditionalFormatting>
  <conditionalFormatting sqref="REV101">
    <cfRule type="duplicateValues" dxfId="0" priority="3018"/>
  </conditionalFormatting>
  <conditionalFormatting sqref="RFC101">
    <cfRule type="duplicateValues" dxfId="0" priority="3017"/>
  </conditionalFormatting>
  <conditionalFormatting sqref="RFJ101">
    <cfRule type="duplicateValues" dxfId="0" priority="3016"/>
  </conditionalFormatting>
  <conditionalFormatting sqref="RFQ101">
    <cfRule type="duplicateValues" dxfId="0" priority="3015"/>
  </conditionalFormatting>
  <conditionalFormatting sqref="RFX101">
    <cfRule type="duplicateValues" dxfId="0" priority="3014"/>
  </conditionalFormatting>
  <conditionalFormatting sqref="RGE101">
    <cfRule type="duplicateValues" dxfId="0" priority="3013"/>
  </conditionalFormatting>
  <conditionalFormatting sqref="RGL101">
    <cfRule type="duplicateValues" dxfId="0" priority="3012"/>
  </conditionalFormatting>
  <conditionalFormatting sqref="RGS101">
    <cfRule type="duplicateValues" dxfId="0" priority="3011"/>
  </conditionalFormatting>
  <conditionalFormatting sqref="RGZ101">
    <cfRule type="duplicateValues" dxfId="0" priority="3010"/>
  </conditionalFormatting>
  <conditionalFormatting sqref="RHG101">
    <cfRule type="duplicateValues" dxfId="0" priority="3009"/>
  </conditionalFormatting>
  <conditionalFormatting sqref="RHN101">
    <cfRule type="duplicateValues" dxfId="0" priority="3008"/>
  </conditionalFormatting>
  <conditionalFormatting sqref="RHU101">
    <cfRule type="duplicateValues" dxfId="0" priority="3007"/>
  </conditionalFormatting>
  <conditionalFormatting sqref="RIB101">
    <cfRule type="duplicateValues" dxfId="0" priority="3006"/>
  </conditionalFormatting>
  <conditionalFormatting sqref="RII101">
    <cfRule type="duplicateValues" dxfId="0" priority="3005"/>
  </conditionalFormatting>
  <conditionalFormatting sqref="RIP101">
    <cfRule type="duplicateValues" dxfId="0" priority="3004"/>
  </conditionalFormatting>
  <conditionalFormatting sqref="RIW101">
    <cfRule type="duplicateValues" dxfId="0" priority="3003"/>
  </conditionalFormatting>
  <conditionalFormatting sqref="RJD101">
    <cfRule type="duplicateValues" dxfId="0" priority="3002"/>
  </conditionalFormatting>
  <conditionalFormatting sqref="RJK101">
    <cfRule type="duplicateValues" dxfId="0" priority="3001"/>
  </conditionalFormatting>
  <conditionalFormatting sqref="RJR101">
    <cfRule type="duplicateValues" dxfId="0" priority="3000"/>
  </conditionalFormatting>
  <conditionalFormatting sqref="RJY101">
    <cfRule type="duplicateValues" dxfId="0" priority="2999"/>
  </conditionalFormatting>
  <conditionalFormatting sqref="RKF101">
    <cfRule type="duplicateValues" dxfId="0" priority="2998"/>
  </conditionalFormatting>
  <conditionalFormatting sqref="RKM101">
    <cfRule type="duplicateValues" dxfId="0" priority="2997"/>
  </conditionalFormatting>
  <conditionalFormatting sqref="RKT101">
    <cfRule type="duplicateValues" dxfId="0" priority="2996"/>
  </conditionalFormatting>
  <conditionalFormatting sqref="RLA101">
    <cfRule type="duplicateValues" dxfId="0" priority="2995"/>
  </conditionalFormatting>
  <conditionalFormatting sqref="RLH101">
    <cfRule type="duplicateValues" dxfId="0" priority="2994"/>
  </conditionalFormatting>
  <conditionalFormatting sqref="RLO101">
    <cfRule type="duplicateValues" dxfId="0" priority="2993"/>
  </conditionalFormatting>
  <conditionalFormatting sqref="RLV101">
    <cfRule type="duplicateValues" dxfId="0" priority="2992"/>
  </conditionalFormatting>
  <conditionalFormatting sqref="RMC101">
    <cfRule type="duplicateValues" dxfId="0" priority="2991"/>
  </conditionalFormatting>
  <conditionalFormatting sqref="RMJ101">
    <cfRule type="duplicateValues" dxfId="0" priority="2990"/>
  </conditionalFormatting>
  <conditionalFormatting sqref="RMQ101">
    <cfRule type="duplicateValues" dxfId="0" priority="2989"/>
  </conditionalFormatting>
  <conditionalFormatting sqref="RMX101">
    <cfRule type="duplicateValues" dxfId="0" priority="2988"/>
  </conditionalFormatting>
  <conditionalFormatting sqref="RNE101">
    <cfRule type="duplicateValues" dxfId="0" priority="2987"/>
  </conditionalFormatting>
  <conditionalFormatting sqref="RNL101">
    <cfRule type="duplicateValues" dxfId="0" priority="2986"/>
  </conditionalFormatting>
  <conditionalFormatting sqref="RNS101">
    <cfRule type="duplicateValues" dxfId="0" priority="2985"/>
  </conditionalFormatting>
  <conditionalFormatting sqref="RNZ101">
    <cfRule type="duplicateValues" dxfId="0" priority="2984"/>
  </conditionalFormatting>
  <conditionalFormatting sqref="ROG101">
    <cfRule type="duplicateValues" dxfId="0" priority="2983"/>
  </conditionalFormatting>
  <conditionalFormatting sqref="RON101">
    <cfRule type="duplicateValues" dxfId="0" priority="2982"/>
  </conditionalFormatting>
  <conditionalFormatting sqref="ROU101">
    <cfRule type="duplicateValues" dxfId="0" priority="2981"/>
  </conditionalFormatting>
  <conditionalFormatting sqref="RPB101">
    <cfRule type="duplicateValues" dxfId="0" priority="2980"/>
  </conditionalFormatting>
  <conditionalFormatting sqref="RPI101">
    <cfRule type="duplicateValues" dxfId="0" priority="2979"/>
  </conditionalFormatting>
  <conditionalFormatting sqref="RPP101">
    <cfRule type="duplicateValues" dxfId="0" priority="2978"/>
  </conditionalFormatting>
  <conditionalFormatting sqref="RPW101">
    <cfRule type="duplicateValues" dxfId="0" priority="2977"/>
  </conditionalFormatting>
  <conditionalFormatting sqref="RQD101">
    <cfRule type="duplicateValues" dxfId="0" priority="2976"/>
  </conditionalFormatting>
  <conditionalFormatting sqref="RQK101">
    <cfRule type="duplicateValues" dxfId="0" priority="2975"/>
  </conditionalFormatting>
  <conditionalFormatting sqref="RQR101">
    <cfRule type="duplicateValues" dxfId="0" priority="2974"/>
  </conditionalFormatting>
  <conditionalFormatting sqref="RQY101">
    <cfRule type="duplicateValues" dxfId="0" priority="2973"/>
  </conditionalFormatting>
  <conditionalFormatting sqref="RRF101">
    <cfRule type="duplicateValues" dxfId="0" priority="2972"/>
  </conditionalFormatting>
  <conditionalFormatting sqref="RRM101">
    <cfRule type="duplicateValues" dxfId="0" priority="2971"/>
  </conditionalFormatting>
  <conditionalFormatting sqref="RRT101">
    <cfRule type="duplicateValues" dxfId="0" priority="2970"/>
  </conditionalFormatting>
  <conditionalFormatting sqref="RSA101">
    <cfRule type="duplicateValues" dxfId="0" priority="2969"/>
  </conditionalFormatting>
  <conditionalFormatting sqref="RSH101">
    <cfRule type="duplicateValues" dxfId="0" priority="2968"/>
  </conditionalFormatting>
  <conditionalFormatting sqref="RSO101">
    <cfRule type="duplicateValues" dxfId="0" priority="2967"/>
  </conditionalFormatting>
  <conditionalFormatting sqref="RSV101">
    <cfRule type="duplicateValues" dxfId="0" priority="2966"/>
  </conditionalFormatting>
  <conditionalFormatting sqref="RTC101">
    <cfRule type="duplicateValues" dxfId="0" priority="2965"/>
  </conditionalFormatting>
  <conditionalFormatting sqref="RTJ101">
    <cfRule type="duplicateValues" dxfId="0" priority="2964"/>
  </conditionalFormatting>
  <conditionalFormatting sqref="RTQ101">
    <cfRule type="duplicateValues" dxfId="0" priority="2963"/>
  </conditionalFormatting>
  <conditionalFormatting sqref="RTX101">
    <cfRule type="duplicateValues" dxfId="0" priority="2962"/>
  </conditionalFormatting>
  <conditionalFormatting sqref="RUE101">
    <cfRule type="duplicateValues" dxfId="0" priority="2961"/>
  </conditionalFormatting>
  <conditionalFormatting sqref="RUL101">
    <cfRule type="duplicateValues" dxfId="0" priority="2960"/>
  </conditionalFormatting>
  <conditionalFormatting sqref="RUS101">
    <cfRule type="duplicateValues" dxfId="0" priority="2959"/>
  </conditionalFormatting>
  <conditionalFormatting sqref="RUZ101">
    <cfRule type="duplicateValues" dxfId="0" priority="2958"/>
  </conditionalFormatting>
  <conditionalFormatting sqref="RVG101">
    <cfRule type="duplicateValues" dxfId="0" priority="2957"/>
  </conditionalFormatting>
  <conditionalFormatting sqref="RVN101">
    <cfRule type="duplicateValues" dxfId="0" priority="2956"/>
  </conditionalFormatting>
  <conditionalFormatting sqref="RVU101">
    <cfRule type="duplicateValues" dxfId="0" priority="2955"/>
  </conditionalFormatting>
  <conditionalFormatting sqref="RWB101">
    <cfRule type="duplicateValues" dxfId="0" priority="2954"/>
  </conditionalFormatting>
  <conditionalFormatting sqref="RWI101">
    <cfRule type="duplicateValues" dxfId="0" priority="2953"/>
  </conditionalFormatting>
  <conditionalFormatting sqref="RWP101">
    <cfRule type="duplicateValues" dxfId="0" priority="2952"/>
  </conditionalFormatting>
  <conditionalFormatting sqref="RWW101">
    <cfRule type="duplicateValues" dxfId="0" priority="2951"/>
  </conditionalFormatting>
  <conditionalFormatting sqref="RXD101">
    <cfRule type="duplicateValues" dxfId="0" priority="2950"/>
  </conditionalFormatting>
  <conditionalFormatting sqref="RXK101">
    <cfRule type="duplicateValues" dxfId="0" priority="2949"/>
  </conditionalFormatting>
  <conditionalFormatting sqref="RXR101">
    <cfRule type="duplicateValues" dxfId="0" priority="2948"/>
  </conditionalFormatting>
  <conditionalFormatting sqref="RXY101">
    <cfRule type="duplicateValues" dxfId="0" priority="2947"/>
  </conditionalFormatting>
  <conditionalFormatting sqref="RYF101">
    <cfRule type="duplicateValues" dxfId="0" priority="2946"/>
  </conditionalFormatting>
  <conditionalFormatting sqref="RYM101">
    <cfRule type="duplicateValues" dxfId="0" priority="2945"/>
  </conditionalFormatting>
  <conditionalFormatting sqref="RYT101">
    <cfRule type="duplicateValues" dxfId="0" priority="2944"/>
  </conditionalFormatting>
  <conditionalFormatting sqref="RZA101">
    <cfRule type="duplicateValues" dxfId="0" priority="2943"/>
  </conditionalFormatting>
  <conditionalFormatting sqref="RZH101">
    <cfRule type="duplicateValues" dxfId="0" priority="2942"/>
  </conditionalFormatting>
  <conditionalFormatting sqref="RZO101">
    <cfRule type="duplicateValues" dxfId="0" priority="2941"/>
  </conditionalFormatting>
  <conditionalFormatting sqref="RZV101">
    <cfRule type="duplicateValues" dxfId="0" priority="2940"/>
  </conditionalFormatting>
  <conditionalFormatting sqref="SAC101">
    <cfRule type="duplicateValues" dxfId="0" priority="2939"/>
  </conditionalFormatting>
  <conditionalFormatting sqref="SAJ101">
    <cfRule type="duplicateValues" dxfId="0" priority="2938"/>
  </conditionalFormatting>
  <conditionalFormatting sqref="SAQ101">
    <cfRule type="duplicateValues" dxfId="0" priority="2937"/>
  </conditionalFormatting>
  <conditionalFormatting sqref="SAX101">
    <cfRule type="duplicateValues" dxfId="0" priority="2936"/>
  </conditionalFormatting>
  <conditionalFormatting sqref="SBE101">
    <cfRule type="duplicateValues" dxfId="0" priority="2935"/>
  </conditionalFormatting>
  <conditionalFormatting sqref="SBL101">
    <cfRule type="duplicateValues" dxfId="0" priority="2934"/>
  </conditionalFormatting>
  <conditionalFormatting sqref="SBS101">
    <cfRule type="duplicateValues" dxfId="0" priority="2933"/>
  </conditionalFormatting>
  <conditionalFormatting sqref="SBZ101">
    <cfRule type="duplicateValues" dxfId="0" priority="2932"/>
  </conditionalFormatting>
  <conditionalFormatting sqref="SCG101">
    <cfRule type="duplicateValues" dxfId="0" priority="2931"/>
  </conditionalFormatting>
  <conditionalFormatting sqref="SCN101">
    <cfRule type="duplicateValues" dxfId="0" priority="2930"/>
  </conditionalFormatting>
  <conditionalFormatting sqref="SCU101">
    <cfRule type="duplicateValues" dxfId="0" priority="2929"/>
  </conditionalFormatting>
  <conditionalFormatting sqref="SDB101">
    <cfRule type="duplicateValues" dxfId="0" priority="2928"/>
  </conditionalFormatting>
  <conditionalFormatting sqref="SDI101">
    <cfRule type="duplicateValues" dxfId="0" priority="2927"/>
  </conditionalFormatting>
  <conditionalFormatting sqref="SDP101">
    <cfRule type="duplicateValues" dxfId="0" priority="2926"/>
  </conditionalFormatting>
  <conditionalFormatting sqref="SDW101">
    <cfRule type="duplicateValues" dxfId="0" priority="2925"/>
  </conditionalFormatting>
  <conditionalFormatting sqref="SED101">
    <cfRule type="duplicateValues" dxfId="0" priority="2924"/>
  </conditionalFormatting>
  <conditionalFormatting sqref="SEK101">
    <cfRule type="duplicateValues" dxfId="0" priority="2923"/>
  </conditionalFormatting>
  <conditionalFormatting sqref="SER101">
    <cfRule type="duplicateValues" dxfId="0" priority="2922"/>
  </conditionalFormatting>
  <conditionalFormatting sqref="SEY101">
    <cfRule type="duplicateValues" dxfId="0" priority="2921"/>
  </conditionalFormatting>
  <conditionalFormatting sqref="SFF101">
    <cfRule type="duplicateValues" dxfId="0" priority="2920"/>
  </conditionalFormatting>
  <conditionalFormatting sqref="SFM101">
    <cfRule type="duplicateValues" dxfId="0" priority="2919"/>
  </conditionalFormatting>
  <conditionalFormatting sqref="SFT101">
    <cfRule type="duplicateValues" dxfId="0" priority="2918"/>
  </conditionalFormatting>
  <conditionalFormatting sqref="SGA101">
    <cfRule type="duplicateValues" dxfId="0" priority="2917"/>
  </conditionalFormatting>
  <conditionalFormatting sqref="SGH101">
    <cfRule type="duplicateValues" dxfId="0" priority="2916"/>
  </conditionalFormatting>
  <conditionalFormatting sqref="SGO101">
    <cfRule type="duplicateValues" dxfId="0" priority="2915"/>
  </conditionalFormatting>
  <conditionalFormatting sqref="SGV101">
    <cfRule type="duplicateValues" dxfId="0" priority="2914"/>
  </conditionalFormatting>
  <conditionalFormatting sqref="SHC101">
    <cfRule type="duplicateValues" dxfId="0" priority="2913"/>
  </conditionalFormatting>
  <conditionalFormatting sqref="SHJ101">
    <cfRule type="duplicateValues" dxfId="0" priority="2912"/>
  </conditionalFormatting>
  <conditionalFormatting sqref="SHQ101">
    <cfRule type="duplicateValues" dxfId="0" priority="2911"/>
  </conditionalFormatting>
  <conditionalFormatting sqref="SHX101">
    <cfRule type="duplicateValues" dxfId="0" priority="2910"/>
  </conditionalFormatting>
  <conditionalFormatting sqref="SIE101">
    <cfRule type="duplicateValues" dxfId="0" priority="2909"/>
  </conditionalFormatting>
  <conditionalFormatting sqref="SIL101">
    <cfRule type="duplicateValues" dxfId="0" priority="2908"/>
  </conditionalFormatting>
  <conditionalFormatting sqref="SIS101">
    <cfRule type="duplicateValues" dxfId="0" priority="2907"/>
  </conditionalFormatting>
  <conditionalFormatting sqref="SIZ101">
    <cfRule type="duplicateValues" dxfId="0" priority="2906"/>
  </conditionalFormatting>
  <conditionalFormatting sqref="SJG101">
    <cfRule type="duplicateValues" dxfId="0" priority="2905"/>
  </conditionalFormatting>
  <conditionalFormatting sqref="SJN101">
    <cfRule type="duplicateValues" dxfId="0" priority="2904"/>
  </conditionalFormatting>
  <conditionalFormatting sqref="SJU101">
    <cfRule type="duplicateValues" dxfId="0" priority="2903"/>
  </conditionalFormatting>
  <conditionalFormatting sqref="SKB101">
    <cfRule type="duplicateValues" dxfId="0" priority="2902"/>
  </conditionalFormatting>
  <conditionalFormatting sqref="SKI101">
    <cfRule type="duplicateValues" dxfId="0" priority="2901"/>
  </conditionalFormatting>
  <conditionalFormatting sqref="SKP101">
    <cfRule type="duplicateValues" dxfId="0" priority="2900"/>
  </conditionalFormatting>
  <conditionalFormatting sqref="SKW101">
    <cfRule type="duplicateValues" dxfId="0" priority="2899"/>
  </conditionalFormatting>
  <conditionalFormatting sqref="SLD101">
    <cfRule type="duplicateValues" dxfId="0" priority="2898"/>
  </conditionalFormatting>
  <conditionalFormatting sqref="SLK101">
    <cfRule type="duplicateValues" dxfId="0" priority="2897"/>
  </conditionalFormatting>
  <conditionalFormatting sqref="SLR101">
    <cfRule type="duplicateValues" dxfId="0" priority="2896"/>
  </conditionalFormatting>
  <conditionalFormatting sqref="SLY101">
    <cfRule type="duplicateValues" dxfId="0" priority="2895"/>
  </conditionalFormatting>
  <conditionalFormatting sqref="SMF101">
    <cfRule type="duplicateValues" dxfId="0" priority="2894"/>
  </conditionalFormatting>
  <conditionalFormatting sqref="SMM101">
    <cfRule type="duplicateValues" dxfId="0" priority="2893"/>
  </conditionalFormatting>
  <conditionalFormatting sqref="SMT101">
    <cfRule type="duplicateValues" dxfId="0" priority="2892"/>
  </conditionalFormatting>
  <conditionalFormatting sqref="SNA101">
    <cfRule type="duplicateValues" dxfId="0" priority="2891"/>
  </conditionalFormatting>
  <conditionalFormatting sqref="SNH101">
    <cfRule type="duplicateValues" dxfId="0" priority="2890"/>
  </conditionalFormatting>
  <conditionalFormatting sqref="SNO101">
    <cfRule type="duplicateValues" dxfId="0" priority="2889"/>
  </conditionalFormatting>
  <conditionalFormatting sqref="SNV101">
    <cfRule type="duplicateValues" dxfId="0" priority="2888"/>
  </conditionalFormatting>
  <conditionalFormatting sqref="SOC101">
    <cfRule type="duplicateValues" dxfId="0" priority="2887"/>
  </conditionalFormatting>
  <conditionalFormatting sqref="SOJ101">
    <cfRule type="duplicateValues" dxfId="0" priority="2886"/>
  </conditionalFormatting>
  <conditionalFormatting sqref="SOQ101">
    <cfRule type="duplicateValues" dxfId="0" priority="2885"/>
  </conditionalFormatting>
  <conditionalFormatting sqref="SOX101">
    <cfRule type="duplicateValues" dxfId="0" priority="2884"/>
  </conditionalFormatting>
  <conditionalFormatting sqref="SPE101">
    <cfRule type="duplicateValues" dxfId="0" priority="2883"/>
  </conditionalFormatting>
  <conditionalFormatting sqref="SPL101">
    <cfRule type="duplicateValues" dxfId="0" priority="2882"/>
  </conditionalFormatting>
  <conditionalFormatting sqref="SPS101">
    <cfRule type="duplicateValues" dxfId="0" priority="2881"/>
  </conditionalFormatting>
  <conditionalFormatting sqref="SPZ101">
    <cfRule type="duplicateValues" dxfId="0" priority="2880"/>
  </conditionalFormatting>
  <conditionalFormatting sqref="SQG101">
    <cfRule type="duplicateValues" dxfId="0" priority="2879"/>
  </conditionalFormatting>
  <conditionalFormatting sqref="SQN101">
    <cfRule type="duplicateValues" dxfId="0" priority="2878"/>
  </conditionalFormatting>
  <conditionalFormatting sqref="SQU101">
    <cfRule type="duplicateValues" dxfId="0" priority="2877"/>
  </conditionalFormatting>
  <conditionalFormatting sqref="SRB101">
    <cfRule type="duplicateValues" dxfId="0" priority="2876"/>
  </conditionalFormatting>
  <conditionalFormatting sqref="SRI101">
    <cfRule type="duplicateValues" dxfId="0" priority="2875"/>
  </conditionalFormatting>
  <conditionalFormatting sqref="SRP101">
    <cfRule type="duplicateValues" dxfId="0" priority="2874"/>
  </conditionalFormatting>
  <conditionalFormatting sqref="SRW101">
    <cfRule type="duplicateValues" dxfId="0" priority="2873"/>
  </conditionalFormatting>
  <conditionalFormatting sqref="SSD101">
    <cfRule type="duplicateValues" dxfId="0" priority="2872"/>
  </conditionalFormatting>
  <conditionalFormatting sqref="SSK101">
    <cfRule type="duplicateValues" dxfId="0" priority="2871"/>
  </conditionalFormatting>
  <conditionalFormatting sqref="SSR101">
    <cfRule type="duplicateValues" dxfId="0" priority="2870"/>
  </conditionalFormatting>
  <conditionalFormatting sqref="SSY101">
    <cfRule type="duplicateValues" dxfId="0" priority="2869"/>
  </conditionalFormatting>
  <conditionalFormatting sqref="STF101">
    <cfRule type="duplicateValues" dxfId="0" priority="2868"/>
  </conditionalFormatting>
  <conditionalFormatting sqref="STM101">
    <cfRule type="duplicateValues" dxfId="0" priority="2867"/>
  </conditionalFormatting>
  <conditionalFormatting sqref="STT101">
    <cfRule type="duplicateValues" dxfId="0" priority="2866"/>
  </conditionalFormatting>
  <conditionalFormatting sqref="SUA101">
    <cfRule type="duplicateValues" dxfId="0" priority="2865"/>
  </conditionalFormatting>
  <conditionalFormatting sqref="SUH101">
    <cfRule type="duplicateValues" dxfId="0" priority="2864"/>
  </conditionalFormatting>
  <conditionalFormatting sqref="SUO101">
    <cfRule type="duplicateValues" dxfId="0" priority="2863"/>
  </conditionalFormatting>
  <conditionalFormatting sqref="SUV101">
    <cfRule type="duplicateValues" dxfId="0" priority="2862"/>
  </conditionalFormatting>
  <conditionalFormatting sqref="SVC101">
    <cfRule type="duplicateValues" dxfId="0" priority="2861"/>
  </conditionalFormatting>
  <conditionalFormatting sqref="SVJ101">
    <cfRule type="duplicateValues" dxfId="0" priority="2860"/>
  </conditionalFormatting>
  <conditionalFormatting sqref="SVQ101">
    <cfRule type="duplicateValues" dxfId="0" priority="2859"/>
  </conditionalFormatting>
  <conditionalFormatting sqref="SVX101">
    <cfRule type="duplicateValues" dxfId="0" priority="2858"/>
  </conditionalFormatting>
  <conditionalFormatting sqref="SWE101">
    <cfRule type="duplicateValues" dxfId="0" priority="2857"/>
  </conditionalFormatting>
  <conditionalFormatting sqref="SWL101">
    <cfRule type="duplicateValues" dxfId="0" priority="2856"/>
  </conditionalFormatting>
  <conditionalFormatting sqref="SWS101">
    <cfRule type="duplicateValues" dxfId="0" priority="2855"/>
  </conditionalFormatting>
  <conditionalFormatting sqref="SWZ101">
    <cfRule type="duplicateValues" dxfId="0" priority="2854"/>
  </conditionalFormatting>
  <conditionalFormatting sqref="SXG101">
    <cfRule type="duplicateValues" dxfId="0" priority="2853"/>
  </conditionalFormatting>
  <conditionalFormatting sqref="SXN101">
    <cfRule type="duplicateValues" dxfId="0" priority="2852"/>
  </conditionalFormatting>
  <conditionalFormatting sqref="SXU101">
    <cfRule type="duplicateValues" dxfId="0" priority="2851"/>
  </conditionalFormatting>
  <conditionalFormatting sqref="SYB101">
    <cfRule type="duplicateValues" dxfId="0" priority="2850"/>
  </conditionalFormatting>
  <conditionalFormatting sqref="SYI101">
    <cfRule type="duplicateValues" dxfId="0" priority="2849"/>
  </conditionalFormatting>
  <conditionalFormatting sqref="SYP101">
    <cfRule type="duplicateValues" dxfId="0" priority="2848"/>
  </conditionalFormatting>
  <conditionalFormatting sqref="SYW101">
    <cfRule type="duplicateValues" dxfId="0" priority="2847"/>
  </conditionalFormatting>
  <conditionalFormatting sqref="SZD101">
    <cfRule type="duplicateValues" dxfId="0" priority="2846"/>
  </conditionalFormatting>
  <conditionalFormatting sqref="SZK101">
    <cfRule type="duplicateValues" dxfId="0" priority="2845"/>
  </conditionalFormatting>
  <conditionalFormatting sqref="SZR101">
    <cfRule type="duplicateValues" dxfId="0" priority="2844"/>
  </conditionalFormatting>
  <conditionalFormatting sqref="SZY101">
    <cfRule type="duplicateValues" dxfId="0" priority="2843"/>
  </conditionalFormatting>
  <conditionalFormatting sqref="TAF101">
    <cfRule type="duplicateValues" dxfId="0" priority="2842"/>
  </conditionalFormatting>
  <conditionalFormatting sqref="TAM101">
    <cfRule type="duplicateValues" dxfId="0" priority="2841"/>
  </conditionalFormatting>
  <conditionalFormatting sqref="TAT101">
    <cfRule type="duplicateValues" dxfId="0" priority="2840"/>
  </conditionalFormatting>
  <conditionalFormatting sqref="TBA101">
    <cfRule type="duplicateValues" dxfId="0" priority="2839"/>
  </conditionalFormatting>
  <conditionalFormatting sqref="TBH101">
    <cfRule type="duplicateValues" dxfId="0" priority="2838"/>
  </conditionalFormatting>
  <conditionalFormatting sqref="TBO101">
    <cfRule type="duplicateValues" dxfId="0" priority="2837"/>
  </conditionalFormatting>
  <conditionalFormatting sqref="TBV101">
    <cfRule type="duplicateValues" dxfId="0" priority="2836"/>
  </conditionalFormatting>
  <conditionalFormatting sqref="TCC101">
    <cfRule type="duplicateValues" dxfId="0" priority="2835"/>
  </conditionalFormatting>
  <conditionalFormatting sqref="TCJ101">
    <cfRule type="duplicateValues" dxfId="0" priority="2834"/>
  </conditionalFormatting>
  <conditionalFormatting sqref="TCQ101">
    <cfRule type="duplicateValues" dxfId="0" priority="2833"/>
  </conditionalFormatting>
  <conditionalFormatting sqref="TCX101">
    <cfRule type="duplicateValues" dxfId="0" priority="2832"/>
  </conditionalFormatting>
  <conditionalFormatting sqref="TDE101">
    <cfRule type="duplicateValues" dxfId="0" priority="2831"/>
  </conditionalFormatting>
  <conditionalFormatting sqref="TDL101">
    <cfRule type="duplicateValues" dxfId="0" priority="2830"/>
  </conditionalFormatting>
  <conditionalFormatting sqref="TDS101">
    <cfRule type="duplicateValues" dxfId="0" priority="2829"/>
  </conditionalFormatting>
  <conditionalFormatting sqref="TDZ101">
    <cfRule type="duplicateValues" dxfId="0" priority="2828"/>
  </conditionalFormatting>
  <conditionalFormatting sqref="TEG101">
    <cfRule type="duplicateValues" dxfId="0" priority="2827"/>
  </conditionalFormatting>
  <conditionalFormatting sqref="TEN101">
    <cfRule type="duplicateValues" dxfId="0" priority="2826"/>
  </conditionalFormatting>
  <conditionalFormatting sqref="TEU101">
    <cfRule type="duplicateValues" dxfId="0" priority="2825"/>
  </conditionalFormatting>
  <conditionalFormatting sqref="TFB101">
    <cfRule type="duplicateValues" dxfId="0" priority="2824"/>
  </conditionalFormatting>
  <conditionalFormatting sqref="TFI101">
    <cfRule type="duplicateValues" dxfId="0" priority="2823"/>
  </conditionalFormatting>
  <conditionalFormatting sqref="TFP101">
    <cfRule type="duplicateValues" dxfId="0" priority="2822"/>
  </conditionalFormatting>
  <conditionalFormatting sqref="TFW101">
    <cfRule type="duplicateValues" dxfId="0" priority="2821"/>
  </conditionalFormatting>
  <conditionalFormatting sqref="TGD101">
    <cfRule type="duplicateValues" dxfId="0" priority="2820"/>
  </conditionalFormatting>
  <conditionalFormatting sqref="TGK101">
    <cfRule type="duplicateValues" dxfId="0" priority="2819"/>
  </conditionalFormatting>
  <conditionalFormatting sqref="TGR101">
    <cfRule type="duplicateValues" dxfId="0" priority="2818"/>
  </conditionalFormatting>
  <conditionalFormatting sqref="TGY101">
    <cfRule type="duplicateValues" dxfId="0" priority="2817"/>
  </conditionalFormatting>
  <conditionalFormatting sqref="THF101">
    <cfRule type="duplicateValues" dxfId="0" priority="2816"/>
  </conditionalFormatting>
  <conditionalFormatting sqref="THM101">
    <cfRule type="duplicateValues" dxfId="0" priority="2815"/>
  </conditionalFormatting>
  <conditionalFormatting sqref="THT101">
    <cfRule type="duplicateValues" dxfId="0" priority="2814"/>
  </conditionalFormatting>
  <conditionalFormatting sqref="TIA101">
    <cfRule type="duplicateValues" dxfId="0" priority="2813"/>
  </conditionalFormatting>
  <conditionalFormatting sqref="TIH101">
    <cfRule type="duplicateValues" dxfId="0" priority="2812"/>
  </conditionalFormatting>
  <conditionalFormatting sqref="TIO101">
    <cfRule type="duplicateValues" dxfId="0" priority="2811"/>
  </conditionalFormatting>
  <conditionalFormatting sqref="TIV101">
    <cfRule type="duplicateValues" dxfId="0" priority="2810"/>
  </conditionalFormatting>
  <conditionalFormatting sqref="TJC101">
    <cfRule type="duplicateValues" dxfId="0" priority="2809"/>
  </conditionalFormatting>
  <conditionalFormatting sqref="TJJ101">
    <cfRule type="duplicateValues" dxfId="0" priority="2808"/>
  </conditionalFormatting>
  <conditionalFormatting sqref="TJQ101">
    <cfRule type="duplicateValues" dxfId="0" priority="2807"/>
  </conditionalFormatting>
  <conditionalFormatting sqref="TJX101">
    <cfRule type="duplicateValues" dxfId="0" priority="2806"/>
  </conditionalFormatting>
  <conditionalFormatting sqref="TKE101">
    <cfRule type="duplicateValues" dxfId="0" priority="2805"/>
  </conditionalFormatting>
  <conditionalFormatting sqref="TKL101">
    <cfRule type="duplicateValues" dxfId="0" priority="2804"/>
  </conditionalFormatting>
  <conditionalFormatting sqref="TKS101">
    <cfRule type="duplicateValues" dxfId="0" priority="2803"/>
  </conditionalFormatting>
  <conditionalFormatting sqref="TKZ101">
    <cfRule type="duplicateValues" dxfId="0" priority="2802"/>
  </conditionalFormatting>
  <conditionalFormatting sqref="TLG101">
    <cfRule type="duplicateValues" dxfId="0" priority="2801"/>
  </conditionalFormatting>
  <conditionalFormatting sqref="TLN101">
    <cfRule type="duplicateValues" dxfId="0" priority="2800"/>
  </conditionalFormatting>
  <conditionalFormatting sqref="TLU101">
    <cfRule type="duplicateValues" dxfId="0" priority="2799"/>
  </conditionalFormatting>
  <conditionalFormatting sqref="TMB101">
    <cfRule type="duplicateValues" dxfId="0" priority="2798"/>
  </conditionalFormatting>
  <conditionalFormatting sqref="TMI101">
    <cfRule type="duplicateValues" dxfId="0" priority="2797"/>
  </conditionalFormatting>
  <conditionalFormatting sqref="TMP101">
    <cfRule type="duplicateValues" dxfId="0" priority="2796"/>
  </conditionalFormatting>
  <conditionalFormatting sqref="TMW101">
    <cfRule type="duplicateValues" dxfId="0" priority="2795"/>
  </conditionalFormatting>
  <conditionalFormatting sqref="TND101">
    <cfRule type="duplicateValues" dxfId="0" priority="2794"/>
  </conditionalFormatting>
  <conditionalFormatting sqref="TNK101">
    <cfRule type="duplicateValues" dxfId="0" priority="2793"/>
  </conditionalFormatting>
  <conditionalFormatting sqref="TNR101">
    <cfRule type="duplicateValues" dxfId="0" priority="2792"/>
  </conditionalFormatting>
  <conditionalFormatting sqref="TNY101">
    <cfRule type="duplicateValues" dxfId="0" priority="2791"/>
  </conditionalFormatting>
  <conditionalFormatting sqref="TOF101">
    <cfRule type="duplicateValues" dxfId="0" priority="2790"/>
  </conditionalFormatting>
  <conditionalFormatting sqref="TOM101">
    <cfRule type="duplicateValues" dxfId="0" priority="2789"/>
  </conditionalFormatting>
  <conditionalFormatting sqref="TOT101">
    <cfRule type="duplicateValues" dxfId="0" priority="2788"/>
  </conditionalFormatting>
  <conditionalFormatting sqref="TPA101">
    <cfRule type="duplicateValues" dxfId="0" priority="2787"/>
  </conditionalFormatting>
  <conditionalFormatting sqref="TPH101">
    <cfRule type="duplicateValues" dxfId="0" priority="2786"/>
  </conditionalFormatting>
  <conditionalFormatting sqref="TPO101">
    <cfRule type="duplicateValues" dxfId="0" priority="2785"/>
  </conditionalFormatting>
  <conditionalFormatting sqref="TPV101">
    <cfRule type="duplicateValues" dxfId="0" priority="2784"/>
  </conditionalFormatting>
  <conditionalFormatting sqref="TQC101">
    <cfRule type="duplicateValues" dxfId="0" priority="2783"/>
  </conditionalFormatting>
  <conditionalFormatting sqref="TQJ101">
    <cfRule type="duplicateValues" dxfId="0" priority="2782"/>
  </conditionalFormatting>
  <conditionalFormatting sqref="TQQ101">
    <cfRule type="duplicateValues" dxfId="0" priority="2781"/>
  </conditionalFormatting>
  <conditionalFormatting sqref="TQX101">
    <cfRule type="duplicateValues" dxfId="0" priority="2780"/>
  </conditionalFormatting>
  <conditionalFormatting sqref="TRE101">
    <cfRule type="duplicateValues" dxfId="0" priority="2779"/>
  </conditionalFormatting>
  <conditionalFormatting sqref="TRL101">
    <cfRule type="duplicateValues" dxfId="0" priority="2778"/>
  </conditionalFormatting>
  <conditionalFormatting sqref="TRS101">
    <cfRule type="duplicateValues" dxfId="0" priority="2777"/>
  </conditionalFormatting>
  <conditionalFormatting sqref="TRZ101">
    <cfRule type="duplicateValues" dxfId="0" priority="2776"/>
  </conditionalFormatting>
  <conditionalFormatting sqref="TSG101">
    <cfRule type="duplicateValues" dxfId="0" priority="2775"/>
  </conditionalFormatting>
  <conditionalFormatting sqref="TSN101">
    <cfRule type="duplicateValues" dxfId="0" priority="2774"/>
  </conditionalFormatting>
  <conditionalFormatting sqref="TSU101">
    <cfRule type="duplicateValues" dxfId="0" priority="2773"/>
  </conditionalFormatting>
  <conditionalFormatting sqref="TTB101">
    <cfRule type="duplicateValues" dxfId="0" priority="2772"/>
  </conditionalFormatting>
  <conditionalFormatting sqref="TTI101">
    <cfRule type="duplicateValues" dxfId="0" priority="2771"/>
  </conditionalFormatting>
  <conditionalFormatting sqref="TTP101">
    <cfRule type="duplicateValues" dxfId="0" priority="2770"/>
  </conditionalFormatting>
  <conditionalFormatting sqref="TTW101">
    <cfRule type="duplicateValues" dxfId="0" priority="2769"/>
  </conditionalFormatting>
  <conditionalFormatting sqref="TUD101">
    <cfRule type="duplicateValues" dxfId="0" priority="2768"/>
  </conditionalFormatting>
  <conditionalFormatting sqref="TUK101">
    <cfRule type="duplicateValues" dxfId="0" priority="2767"/>
  </conditionalFormatting>
  <conditionalFormatting sqref="TUR101">
    <cfRule type="duplicateValues" dxfId="0" priority="2766"/>
  </conditionalFormatting>
  <conditionalFormatting sqref="TUY101">
    <cfRule type="duplicateValues" dxfId="0" priority="2765"/>
  </conditionalFormatting>
  <conditionalFormatting sqref="TVF101">
    <cfRule type="duplicateValues" dxfId="0" priority="2764"/>
  </conditionalFormatting>
  <conditionalFormatting sqref="TVM101">
    <cfRule type="duplicateValues" dxfId="0" priority="2763"/>
  </conditionalFormatting>
  <conditionalFormatting sqref="TVT101">
    <cfRule type="duplicateValues" dxfId="0" priority="2762"/>
  </conditionalFormatting>
  <conditionalFormatting sqref="TWA101">
    <cfRule type="duplicateValues" dxfId="0" priority="2761"/>
  </conditionalFormatting>
  <conditionalFormatting sqref="TWH101">
    <cfRule type="duplicateValues" dxfId="0" priority="2760"/>
  </conditionalFormatting>
  <conditionalFormatting sqref="TWO101">
    <cfRule type="duplicateValues" dxfId="0" priority="2759"/>
  </conditionalFormatting>
  <conditionalFormatting sqref="TWV101">
    <cfRule type="duplicateValues" dxfId="0" priority="2758"/>
  </conditionalFormatting>
  <conditionalFormatting sqref="TXC101">
    <cfRule type="duplicateValues" dxfId="0" priority="2757"/>
  </conditionalFormatting>
  <conditionalFormatting sqref="TXJ101">
    <cfRule type="duplicateValues" dxfId="0" priority="2756"/>
  </conditionalFormatting>
  <conditionalFormatting sqref="TXQ101">
    <cfRule type="duplicateValues" dxfId="0" priority="2755"/>
  </conditionalFormatting>
  <conditionalFormatting sqref="TXX101">
    <cfRule type="duplicateValues" dxfId="0" priority="2754"/>
  </conditionalFormatting>
  <conditionalFormatting sqref="TYE101">
    <cfRule type="duplicateValues" dxfId="0" priority="2753"/>
  </conditionalFormatting>
  <conditionalFormatting sqref="TYL101">
    <cfRule type="duplicateValues" dxfId="0" priority="2752"/>
  </conditionalFormatting>
  <conditionalFormatting sqref="TYS101">
    <cfRule type="duplicateValues" dxfId="0" priority="2751"/>
  </conditionalFormatting>
  <conditionalFormatting sqref="TYZ101">
    <cfRule type="duplicateValues" dxfId="0" priority="2750"/>
  </conditionalFormatting>
  <conditionalFormatting sqref="TZG101">
    <cfRule type="duplicateValues" dxfId="0" priority="2749"/>
  </conditionalFormatting>
  <conditionalFormatting sqref="TZN101">
    <cfRule type="duplicateValues" dxfId="0" priority="2748"/>
  </conditionalFormatting>
  <conditionalFormatting sqref="TZU101">
    <cfRule type="duplicateValues" dxfId="0" priority="2747"/>
  </conditionalFormatting>
  <conditionalFormatting sqref="UAB101">
    <cfRule type="duplicateValues" dxfId="0" priority="2746"/>
  </conditionalFormatting>
  <conditionalFormatting sqref="UAI101">
    <cfRule type="duplicateValues" dxfId="0" priority="2745"/>
  </conditionalFormatting>
  <conditionalFormatting sqref="UAP101">
    <cfRule type="duplicateValues" dxfId="0" priority="2744"/>
  </conditionalFormatting>
  <conditionalFormatting sqref="UAW101">
    <cfRule type="duplicateValues" dxfId="0" priority="2743"/>
  </conditionalFormatting>
  <conditionalFormatting sqref="UBD101">
    <cfRule type="duplicateValues" dxfId="0" priority="2742"/>
  </conditionalFormatting>
  <conditionalFormatting sqref="UBK101">
    <cfRule type="duplicateValues" dxfId="0" priority="2741"/>
  </conditionalFormatting>
  <conditionalFormatting sqref="UBR101">
    <cfRule type="duplicateValues" dxfId="0" priority="2740"/>
  </conditionalFormatting>
  <conditionalFormatting sqref="UBY101">
    <cfRule type="duplicateValues" dxfId="0" priority="2739"/>
  </conditionalFormatting>
  <conditionalFormatting sqref="UCF101">
    <cfRule type="duplicateValues" dxfId="0" priority="2738"/>
  </conditionalFormatting>
  <conditionalFormatting sqref="UCM101">
    <cfRule type="duplicateValues" dxfId="0" priority="2737"/>
  </conditionalFormatting>
  <conditionalFormatting sqref="UCT101">
    <cfRule type="duplicateValues" dxfId="0" priority="2736"/>
  </conditionalFormatting>
  <conditionalFormatting sqref="UDA101">
    <cfRule type="duplicateValues" dxfId="0" priority="2735"/>
  </conditionalFormatting>
  <conditionalFormatting sqref="UDH101">
    <cfRule type="duplicateValues" dxfId="0" priority="2734"/>
  </conditionalFormatting>
  <conditionalFormatting sqref="UDO101">
    <cfRule type="duplicateValues" dxfId="0" priority="2733"/>
  </conditionalFormatting>
  <conditionalFormatting sqref="UDV101">
    <cfRule type="duplicateValues" dxfId="0" priority="2732"/>
  </conditionalFormatting>
  <conditionalFormatting sqref="UEC101">
    <cfRule type="duplicateValues" dxfId="0" priority="2731"/>
  </conditionalFormatting>
  <conditionalFormatting sqref="UEJ101">
    <cfRule type="duplicateValues" dxfId="0" priority="2730"/>
  </conditionalFormatting>
  <conditionalFormatting sqref="UEQ101">
    <cfRule type="duplicateValues" dxfId="0" priority="2729"/>
  </conditionalFormatting>
  <conditionalFormatting sqref="UEX101">
    <cfRule type="duplicateValues" dxfId="0" priority="2728"/>
  </conditionalFormatting>
  <conditionalFormatting sqref="UFE101">
    <cfRule type="duplicateValues" dxfId="0" priority="2727"/>
  </conditionalFormatting>
  <conditionalFormatting sqref="UFL101">
    <cfRule type="duplicateValues" dxfId="0" priority="2726"/>
  </conditionalFormatting>
  <conditionalFormatting sqref="UFS101">
    <cfRule type="duplicateValues" dxfId="0" priority="2725"/>
  </conditionalFormatting>
  <conditionalFormatting sqref="UFZ101">
    <cfRule type="duplicateValues" dxfId="0" priority="2724"/>
  </conditionalFormatting>
  <conditionalFormatting sqref="UGG101">
    <cfRule type="duplicateValues" dxfId="0" priority="2723"/>
  </conditionalFormatting>
  <conditionalFormatting sqref="UGN101">
    <cfRule type="duplicateValues" dxfId="0" priority="2722"/>
  </conditionalFormatting>
  <conditionalFormatting sqref="UGU101">
    <cfRule type="duplicateValues" dxfId="0" priority="2721"/>
  </conditionalFormatting>
  <conditionalFormatting sqref="UHB101">
    <cfRule type="duplicateValues" dxfId="0" priority="2720"/>
  </conditionalFormatting>
  <conditionalFormatting sqref="UHI101">
    <cfRule type="duplicateValues" dxfId="0" priority="2719"/>
  </conditionalFormatting>
  <conditionalFormatting sqref="UHP101">
    <cfRule type="duplicateValues" dxfId="0" priority="2718"/>
  </conditionalFormatting>
  <conditionalFormatting sqref="UHW101">
    <cfRule type="duplicateValues" dxfId="0" priority="2717"/>
  </conditionalFormatting>
  <conditionalFormatting sqref="UID101">
    <cfRule type="duplicateValues" dxfId="0" priority="2716"/>
  </conditionalFormatting>
  <conditionalFormatting sqref="UIK101">
    <cfRule type="duplicateValues" dxfId="0" priority="2715"/>
  </conditionalFormatting>
  <conditionalFormatting sqref="UIR101">
    <cfRule type="duplicateValues" dxfId="0" priority="2714"/>
  </conditionalFormatting>
  <conditionalFormatting sqref="UIY101">
    <cfRule type="duplicateValues" dxfId="0" priority="2713"/>
  </conditionalFormatting>
  <conditionalFormatting sqref="UJF101">
    <cfRule type="duplicateValues" dxfId="0" priority="2712"/>
  </conditionalFormatting>
  <conditionalFormatting sqref="UJM101">
    <cfRule type="duplicateValues" dxfId="0" priority="2711"/>
  </conditionalFormatting>
  <conditionalFormatting sqref="UJT101">
    <cfRule type="duplicateValues" dxfId="0" priority="2710"/>
  </conditionalFormatting>
  <conditionalFormatting sqref="UKA101">
    <cfRule type="duplicateValues" dxfId="0" priority="2709"/>
  </conditionalFormatting>
  <conditionalFormatting sqref="UKH101">
    <cfRule type="duplicateValues" dxfId="0" priority="2708"/>
  </conditionalFormatting>
  <conditionalFormatting sqref="UKO101">
    <cfRule type="duplicateValues" dxfId="0" priority="2707"/>
  </conditionalFormatting>
  <conditionalFormatting sqref="UKV101">
    <cfRule type="duplicateValues" dxfId="0" priority="2706"/>
  </conditionalFormatting>
  <conditionalFormatting sqref="ULC101">
    <cfRule type="duplicateValues" dxfId="0" priority="2705"/>
  </conditionalFormatting>
  <conditionalFormatting sqref="ULJ101">
    <cfRule type="duplicateValues" dxfId="0" priority="2704"/>
  </conditionalFormatting>
  <conditionalFormatting sqref="ULQ101">
    <cfRule type="duplicateValues" dxfId="0" priority="2703"/>
  </conditionalFormatting>
  <conditionalFormatting sqref="ULX101">
    <cfRule type="duplicateValues" dxfId="0" priority="2702"/>
  </conditionalFormatting>
  <conditionalFormatting sqref="UME101">
    <cfRule type="duplicateValues" dxfId="0" priority="2701"/>
  </conditionalFormatting>
  <conditionalFormatting sqref="UML101">
    <cfRule type="duplicateValues" dxfId="0" priority="2700"/>
  </conditionalFormatting>
  <conditionalFormatting sqref="UMS101">
    <cfRule type="duplicateValues" dxfId="0" priority="2699"/>
  </conditionalFormatting>
  <conditionalFormatting sqref="UMZ101">
    <cfRule type="duplicateValues" dxfId="0" priority="2698"/>
  </conditionalFormatting>
  <conditionalFormatting sqref="UNG101">
    <cfRule type="duplicateValues" dxfId="0" priority="2697"/>
  </conditionalFormatting>
  <conditionalFormatting sqref="UNN101">
    <cfRule type="duplicateValues" dxfId="0" priority="2696"/>
  </conditionalFormatting>
  <conditionalFormatting sqref="UNU101">
    <cfRule type="duplicateValues" dxfId="0" priority="2695"/>
  </conditionalFormatting>
  <conditionalFormatting sqref="UOB101">
    <cfRule type="duplicateValues" dxfId="0" priority="2694"/>
  </conditionalFormatting>
  <conditionalFormatting sqref="UOI101">
    <cfRule type="duplicateValues" dxfId="0" priority="2693"/>
  </conditionalFormatting>
  <conditionalFormatting sqref="UOP101">
    <cfRule type="duplicateValues" dxfId="0" priority="2692"/>
  </conditionalFormatting>
  <conditionalFormatting sqref="UOW101">
    <cfRule type="duplicateValues" dxfId="0" priority="2691"/>
  </conditionalFormatting>
  <conditionalFormatting sqref="UPD101">
    <cfRule type="duplicateValues" dxfId="0" priority="2690"/>
  </conditionalFormatting>
  <conditionalFormatting sqref="UPK101">
    <cfRule type="duplicateValues" dxfId="0" priority="2689"/>
  </conditionalFormatting>
  <conditionalFormatting sqref="UPR101">
    <cfRule type="duplicateValues" dxfId="0" priority="2688"/>
  </conditionalFormatting>
  <conditionalFormatting sqref="UPY101">
    <cfRule type="duplicateValues" dxfId="0" priority="2687"/>
  </conditionalFormatting>
  <conditionalFormatting sqref="UQF101">
    <cfRule type="duplicateValues" dxfId="0" priority="2686"/>
  </conditionalFormatting>
  <conditionalFormatting sqref="UQM101">
    <cfRule type="duplicateValues" dxfId="0" priority="2685"/>
  </conditionalFormatting>
  <conditionalFormatting sqref="UQT101">
    <cfRule type="duplicateValues" dxfId="0" priority="2684"/>
  </conditionalFormatting>
  <conditionalFormatting sqref="URA101">
    <cfRule type="duplicateValues" dxfId="0" priority="2683"/>
  </conditionalFormatting>
  <conditionalFormatting sqref="URH101">
    <cfRule type="duplicateValues" dxfId="0" priority="2682"/>
  </conditionalFormatting>
  <conditionalFormatting sqref="URO101">
    <cfRule type="duplicateValues" dxfId="0" priority="2681"/>
  </conditionalFormatting>
  <conditionalFormatting sqref="URV101">
    <cfRule type="duplicateValues" dxfId="0" priority="2680"/>
  </conditionalFormatting>
  <conditionalFormatting sqref="USC101">
    <cfRule type="duplicateValues" dxfId="0" priority="2679"/>
  </conditionalFormatting>
  <conditionalFormatting sqref="USJ101">
    <cfRule type="duplicateValues" dxfId="0" priority="2678"/>
  </conditionalFormatting>
  <conditionalFormatting sqref="USQ101">
    <cfRule type="duplicateValues" dxfId="0" priority="2677"/>
  </conditionalFormatting>
  <conditionalFormatting sqref="USX101">
    <cfRule type="duplicateValues" dxfId="0" priority="2676"/>
  </conditionalFormatting>
  <conditionalFormatting sqref="UTE101">
    <cfRule type="duplicateValues" dxfId="0" priority="2675"/>
  </conditionalFormatting>
  <conditionalFormatting sqref="UTL101">
    <cfRule type="duplicateValues" dxfId="0" priority="2674"/>
  </conditionalFormatting>
  <conditionalFormatting sqref="UTS101">
    <cfRule type="duplicateValues" dxfId="0" priority="2673"/>
  </conditionalFormatting>
  <conditionalFormatting sqref="UTZ101">
    <cfRule type="duplicateValues" dxfId="0" priority="2672"/>
  </conditionalFormatting>
  <conditionalFormatting sqref="UUG101">
    <cfRule type="duplicateValues" dxfId="0" priority="2671"/>
  </conditionalFormatting>
  <conditionalFormatting sqref="UUN101">
    <cfRule type="duplicateValues" dxfId="0" priority="2670"/>
  </conditionalFormatting>
  <conditionalFormatting sqref="UUU101">
    <cfRule type="duplicateValues" dxfId="0" priority="2669"/>
  </conditionalFormatting>
  <conditionalFormatting sqref="UVB101">
    <cfRule type="duplicateValues" dxfId="0" priority="2668"/>
  </conditionalFormatting>
  <conditionalFormatting sqref="UVI101">
    <cfRule type="duplicateValues" dxfId="0" priority="2667"/>
  </conditionalFormatting>
  <conditionalFormatting sqref="UVP101">
    <cfRule type="duplicateValues" dxfId="0" priority="2666"/>
  </conditionalFormatting>
  <conditionalFormatting sqref="UVW101">
    <cfRule type="duplicateValues" dxfId="0" priority="2665"/>
  </conditionalFormatting>
  <conditionalFormatting sqref="UWD101">
    <cfRule type="duplicateValues" dxfId="0" priority="2664"/>
  </conditionalFormatting>
  <conditionalFormatting sqref="UWK101">
    <cfRule type="duplicateValues" dxfId="0" priority="2663"/>
  </conditionalFormatting>
  <conditionalFormatting sqref="UWR101">
    <cfRule type="duplicateValues" dxfId="0" priority="2662"/>
  </conditionalFormatting>
  <conditionalFormatting sqref="UWY101">
    <cfRule type="duplicateValues" dxfId="0" priority="2661"/>
  </conditionalFormatting>
  <conditionalFormatting sqref="UXF101">
    <cfRule type="duplicateValues" dxfId="0" priority="2660"/>
  </conditionalFormatting>
  <conditionalFormatting sqref="UXM101">
    <cfRule type="duplicateValues" dxfId="0" priority="2659"/>
  </conditionalFormatting>
  <conditionalFormatting sqref="UXT101">
    <cfRule type="duplicateValues" dxfId="0" priority="2658"/>
  </conditionalFormatting>
  <conditionalFormatting sqref="UYA101">
    <cfRule type="duplicateValues" dxfId="0" priority="2657"/>
  </conditionalFormatting>
  <conditionalFormatting sqref="UYH101">
    <cfRule type="duplicateValues" dxfId="0" priority="2656"/>
  </conditionalFormatting>
  <conditionalFormatting sqref="UYO101">
    <cfRule type="duplicateValues" dxfId="0" priority="2655"/>
  </conditionalFormatting>
  <conditionalFormatting sqref="UYV101">
    <cfRule type="duplicateValues" dxfId="0" priority="2654"/>
  </conditionalFormatting>
  <conditionalFormatting sqref="UZC101">
    <cfRule type="duplicateValues" dxfId="0" priority="2653"/>
  </conditionalFormatting>
  <conditionalFormatting sqref="UZJ101">
    <cfRule type="duplicateValues" dxfId="0" priority="2652"/>
  </conditionalFormatting>
  <conditionalFormatting sqref="UZQ101">
    <cfRule type="duplicateValues" dxfId="0" priority="2651"/>
  </conditionalFormatting>
  <conditionalFormatting sqref="UZX101">
    <cfRule type="duplicateValues" dxfId="0" priority="2650"/>
  </conditionalFormatting>
  <conditionalFormatting sqref="VAE101">
    <cfRule type="duplicateValues" dxfId="0" priority="2649"/>
  </conditionalFormatting>
  <conditionalFormatting sqref="VAL101">
    <cfRule type="duplicateValues" dxfId="0" priority="2648"/>
  </conditionalFormatting>
  <conditionalFormatting sqref="VAS101">
    <cfRule type="duplicateValues" dxfId="0" priority="2647"/>
  </conditionalFormatting>
  <conditionalFormatting sqref="VAZ101">
    <cfRule type="duplicateValues" dxfId="0" priority="2646"/>
  </conditionalFormatting>
  <conditionalFormatting sqref="VBG101">
    <cfRule type="duplicateValues" dxfId="0" priority="2645"/>
  </conditionalFormatting>
  <conditionalFormatting sqref="VBN101">
    <cfRule type="duplicateValues" dxfId="0" priority="2644"/>
  </conditionalFormatting>
  <conditionalFormatting sqref="VBU101">
    <cfRule type="duplicateValues" dxfId="0" priority="2643"/>
  </conditionalFormatting>
  <conditionalFormatting sqref="VCB101">
    <cfRule type="duplicateValues" dxfId="0" priority="2642"/>
  </conditionalFormatting>
  <conditionalFormatting sqref="VCI101">
    <cfRule type="duplicateValues" dxfId="0" priority="2641"/>
  </conditionalFormatting>
  <conditionalFormatting sqref="VCP101">
    <cfRule type="duplicateValues" dxfId="0" priority="2640"/>
  </conditionalFormatting>
  <conditionalFormatting sqref="VCW101">
    <cfRule type="duplicateValues" dxfId="0" priority="2639"/>
  </conditionalFormatting>
  <conditionalFormatting sqref="VDD101">
    <cfRule type="duplicateValues" dxfId="0" priority="2638"/>
  </conditionalFormatting>
  <conditionalFormatting sqref="VDK101">
    <cfRule type="duplicateValues" dxfId="0" priority="2637"/>
  </conditionalFormatting>
  <conditionalFormatting sqref="VDR101">
    <cfRule type="duplicateValues" dxfId="0" priority="2636"/>
  </conditionalFormatting>
  <conditionalFormatting sqref="VDY101">
    <cfRule type="duplicateValues" dxfId="0" priority="2635"/>
  </conditionalFormatting>
  <conditionalFormatting sqref="VEF101">
    <cfRule type="duplicateValues" dxfId="0" priority="2634"/>
  </conditionalFormatting>
  <conditionalFormatting sqref="VEM101">
    <cfRule type="duplicateValues" dxfId="0" priority="2633"/>
  </conditionalFormatting>
  <conditionalFormatting sqref="VET101">
    <cfRule type="duplicateValues" dxfId="0" priority="2632"/>
  </conditionalFormatting>
  <conditionalFormatting sqref="VFA101">
    <cfRule type="duplicateValues" dxfId="0" priority="2631"/>
  </conditionalFormatting>
  <conditionalFormatting sqref="VFH101">
    <cfRule type="duplicateValues" dxfId="0" priority="2630"/>
  </conditionalFormatting>
  <conditionalFormatting sqref="VFO101">
    <cfRule type="duplicateValues" dxfId="0" priority="2629"/>
  </conditionalFormatting>
  <conditionalFormatting sqref="VFV101">
    <cfRule type="duplicateValues" dxfId="0" priority="2628"/>
  </conditionalFormatting>
  <conditionalFormatting sqref="VGC101">
    <cfRule type="duplicateValues" dxfId="0" priority="2627"/>
  </conditionalFormatting>
  <conditionalFormatting sqref="VGJ101">
    <cfRule type="duplicateValues" dxfId="0" priority="2626"/>
  </conditionalFormatting>
  <conditionalFormatting sqref="VGQ101">
    <cfRule type="duplicateValues" dxfId="0" priority="2625"/>
  </conditionalFormatting>
  <conditionalFormatting sqref="VGX101">
    <cfRule type="duplicateValues" dxfId="0" priority="2624"/>
  </conditionalFormatting>
  <conditionalFormatting sqref="VHE101">
    <cfRule type="duplicateValues" dxfId="0" priority="2623"/>
  </conditionalFormatting>
  <conditionalFormatting sqref="VHL101">
    <cfRule type="duplicateValues" dxfId="0" priority="2622"/>
  </conditionalFormatting>
  <conditionalFormatting sqref="VHS101">
    <cfRule type="duplicateValues" dxfId="0" priority="2621"/>
  </conditionalFormatting>
  <conditionalFormatting sqref="VHZ101">
    <cfRule type="duplicateValues" dxfId="0" priority="2620"/>
  </conditionalFormatting>
  <conditionalFormatting sqref="VIG101">
    <cfRule type="duplicateValues" dxfId="0" priority="2619"/>
  </conditionalFormatting>
  <conditionalFormatting sqref="VIN101">
    <cfRule type="duplicateValues" dxfId="0" priority="2618"/>
  </conditionalFormatting>
  <conditionalFormatting sqref="VIU101">
    <cfRule type="duplicateValues" dxfId="0" priority="2617"/>
  </conditionalFormatting>
  <conditionalFormatting sqref="VJB101">
    <cfRule type="duplicateValues" dxfId="0" priority="2616"/>
  </conditionalFormatting>
  <conditionalFormatting sqref="VJI101">
    <cfRule type="duplicateValues" dxfId="0" priority="2615"/>
  </conditionalFormatting>
  <conditionalFormatting sqref="VJP101">
    <cfRule type="duplicateValues" dxfId="0" priority="2614"/>
  </conditionalFormatting>
  <conditionalFormatting sqref="VJW101">
    <cfRule type="duplicateValues" dxfId="0" priority="2613"/>
  </conditionalFormatting>
  <conditionalFormatting sqref="VKD101">
    <cfRule type="duplicateValues" dxfId="0" priority="2612"/>
  </conditionalFormatting>
  <conditionalFormatting sqref="VKK101">
    <cfRule type="duplicateValues" dxfId="0" priority="2611"/>
  </conditionalFormatting>
  <conditionalFormatting sqref="VKR101">
    <cfRule type="duplicateValues" dxfId="0" priority="2610"/>
  </conditionalFormatting>
  <conditionalFormatting sqref="VKY101">
    <cfRule type="duplicateValues" dxfId="0" priority="2609"/>
  </conditionalFormatting>
  <conditionalFormatting sqref="VLF101">
    <cfRule type="duplicateValues" dxfId="0" priority="2608"/>
  </conditionalFormatting>
  <conditionalFormatting sqref="VLM101">
    <cfRule type="duplicateValues" dxfId="0" priority="2607"/>
  </conditionalFormatting>
  <conditionalFormatting sqref="VLT101">
    <cfRule type="duplicateValues" dxfId="0" priority="2606"/>
  </conditionalFormatting>
  <conditionalFormatting sqref="VMA101">
    <cfRule type="duplicateValues" dxfId="0" priority="2605"/>
  </conditionalFormatting>
  <conditionalFormatting sqref="VMH101">
    <cfRule type="duplicateValues" dxfId="0" priority="2604"/>
  </conditionalFormatting>
  <conditionalFormatting sqref="VMO101">
    <cfRule type="duplicateValues" dxfId="0" priority="2603"/>
  </conditionalFormatting>
  <conditionalFormatting sqref="VMV101">
    <cfRule type="duplicateValues" dxfId="0" priority="2602"/>
  </conditionalFormatting>
  <conditionalFormatting sqref="VNC101">
    <cfRule type="duplicateValues" dxfId="0" priority="2601"/>
  </conditionalFormatting>
  <conditionalFormatting sqref="VNJ101">
    <cfRule type="duplicateValues" dxfId="0" priority="2600"/>
  </conditionalFormatting>
  <conditionalFormatting sqref="VNQ101">
    <cfRule type="duplicateValues" dxfId="0" priority="2599"/>
  </conditionalFormatting>
  <conditionalFormatting sqref="VNX101">
    <cfRule type="duplicateValues" dxfId="0" priority="2598"/>
  </conditionalFormatting>
  <conditionalFormatting sqref="VOE101">
    <cfRule type="duplicateValues" dxfId="0" priority="2597"/>
  </conditionalFormatting>
  <conditionalFormatting sqref="VOL101">
    <cfRule type="duplicateValues" dxfId="0" priority="2596"/>
  </conditionalFormatting>
  <conditionalFormatting sqref="VOS101">
    <cfRule type="duplicateValues" dxfId="0" priority="2595"/>
  </conditionalFormatting>
  <conditionalFormatting sqref="VOZ101">
    <cfRule type="duplicateValues" dxfId="0" priority="2594"/>
  </conditionalFormatting>
  <conditionalFormatting sqref="VPG101">
    <cfRule type="duplicateValues" dxfId="0" priority="2593"/>
  </conditionalFormatting>
  <conditionalFormatting sqref="VPN101">
    <cfRule type="duplicateValues" dxfId="0" priority="2592"/>
  </conditionalFormatting>
  <conditionalFormatting sqref="VPU101">
    <cfRule type="duplicateValues" dxfId="0" priority="2591"/>
  </conditionalFormatting>
  <conditionalFormatting sqref="VQB101">
    <cfRule type="duplicateValues" dxfId="0" priority="2590"/>
  </conditionalFormatting>
  <conditionalFormatting sqref="VQI101">
    <cfRule type="duplicateValues" dxfId="0" priority="2589"/>
  </conditionalFormatting>
  <conditionalFormatting sqref="VQP101">
    <cfRule type="duplicateValues" dxfId="0" priority="2588"/>
  </conditionalFormatting>
  <conditionalFormatting sqref="VQW101">
    <cfRule type="duplicateValues" dxfId="0" priority="2587"/>
  </conditionalFormatting>
  <conditionalFormatting sqref="VRD101">
    <cfRule type="duplicateValues" dxfId="0" priority="2586"/>
  </conditionalFormatting>
  <conditionalFormatting sqref="VRK101">
    <cfRule type="duplicateValues" dxfId="0" priority="2585"/>
  </conditionalFormatting>
  <conditionalFormatting sqref="VRR101">
    <cfRule type="duplicateValues" dxfId="0" priority="2584"/>
  </conditionalFormatting>
  <conditionalFormatting sqref="VRY101">
    <cfRule type="duplicateValues" dxfId="0" priority="2583"/>
  </conditionalFormatting>
  <conditionalFormatting sqref="VSF101">
    <cfRule type="duplicateValues" dxfId="0" priority="2582"/>
  </conditionalFormatting>
  <conditionalFormatting sqref="VSM101">
    <cfRule type="duplicateValues" dxfId="0" priority="2581"/>
  </conditionalFormatting>
  <conditionalFormatting sqref="VST101">
    <cfRule type="duplicateValues" dxfId="0" priority="2580"/>
  </conditionalFormatting>
  <conditionalFormatting sqref="VTA101">
    <cfRule type="duplicateValues" dxfId="0" priority="2579"/>
  </conditionalFormatting>
  <conditionalFormatting sqref="VTH101">
    <cfRule type="duplicateValues" dxfId="0" priority="2578"/>
  </conditionalFormatting>
  <conditionalFormatting sqref="VTO101">
    <cfRule type="duplicateValues" dxfId="0" priority="2577"/>
  </conditionalFormatting>
  <conditionalFormatting sqref="VTV101">
    <cfRule type="duplicateValues" dxfId="0" priority="2576"/>
  </conditionalFormatting>
  <conditionalFormatting sqref="VUC101">
    <cfRule type="duplicateValues" dxfId="0" priority="2575"/>
  </conditionalFormatting>
  <conditionalFormatting sqref="VUJ101">
    <cfRule type="duplicateValues" dxfId="0" priority="2574"/>
  </conditionalFormatting>
  <conditionalFormatting sqref="VUQ101">
    <cfRule type="duplicateValues" dxfId="0" priority="2573"/>
  </conditionalFormatting>
  <conditionalFormatting sqref="VUX101">
    <cfRule type="duplicateValues" dxfId="0" priority="2572"/>
  </conditionalFormatting>
  <conditionalFormatting sqref="VVE101">
    <cfRule type="duplicateValues" dxfId="0" priority="2571"/>
  </conditionalFormatting>
  <conditionalFormatting sqref="VVL101">
    <cfRule type="duplicateValues" dxfId="0" priority="2570"/>
  </conditionalFormatting>
  <conditionalFormatting sqref="VVS101">
    <cfRule type="duplicateValues" dxfId="0" priority="2569"/>
  </conditionalFormatting>
  <conditionalFormatting sqref="VVZ101">
    <cfRule type="duplicateValues" dxfId="0" priority="2568"/>
  </conditionalFormatting>
  <conditionalFormatting sqref="VWG101">
    <cfRule type="duplicateValues" dxfId="0" priority="2567"/>
  </conditionalFormatting>
  <conditionalFormatting sqref="VWN101">
    <cfRule type="duplicateValues" dxfId="0" priority="2566"/>
  </conditionalFormatting>
  <conditionalFormatting sqref="VWU101">
    <cfRule type="duplicateValues" dxfId="0" priority="2565"/>
  </conditionalFormatting>
  <conditionalFormatting sqref="VXB101">
    <cfRule type="duplicateValues" dxfId="0" priority="2564"/>
  </conditionalFormatting>
  <conditionalFormatting sqref="VXI101">
    <cfRule type="duplicateValues" dxfId="0" priority="2563"/>
  </conditionalFormatting>
  <conditionalFormatting sqref="VXP101">
    <cfRule type="duplicateValues" dxfId="0" priority="2562"/>
  </conditionalFormatting>
  <conditionalFormatting sqref="VXW101">
    <cfRule type="duplicateValues" dxfId="0" priority="2561"/>
  </conditionalFormatting>
  <conditionalFormatting sqref="VYD101">
    <cfRule type="duplicateValues" dxfId="0" priority="2560"/>
  </conditionalFormatting>
  <conditionalFormatting sqref="VYK101">
    <cfRule type="duplicateValues" dxfId="0" priority="2559"/>
  </conditionalFormatting>
  <conditionalFormatting sqref="VYR101">
    <cfRule type="duplicateValues" dxfId="0" priority="2558"/>
  </conditionalFormatting>
  <conditionalFormatting sqref="VYY101">
    <cfRule type="duplicateValues" dxfId="0" priority="2557"/>
  </conditionalFormatting>
  <conditionalFormatting sqref="VZF101">
    <cfRule type="duplicateValues" dxfId="0" priority="2556"/>
  </conditionalFormatting>
  <conditionalFormatting sqref="VZM101">
    <cfRule type="duplicateValues" dxfId="0" priority="2555"/>
  </conditionalFormatting>
  <conditionalFormatting sqref="VZT101">
    <cfRule type="duplicateValues" dxfId="0" priority="2554"/>
  </conditionalFormatting>
  <conditionalFormatting sqref="WAA101">
    <cfRule type="duplicateValues" dxfId="0" priority="2553"/>
  </conditionalFormatting>
  <conditionalFormatting sqref="WAH101">
    <cfRule type="duplicateValues" dxfId="0" priority="2552"/>
  </conditionalFormatting>
  <conditionalFormatting sqref="WAO101">
    <cfRule type="duplicateValues" dxfId="0" priority="2551"/>
  </conditionalFormatting>
  <conditionalFormatting sqref="WAV101">
    <cfRule type="duplicateValues" dxfId="0" priority="2550"/>
  </conditionalFormatting>
  <conditionalFormatting sqref="WBC101">
    <cfRule type="duplicateValues" dxfId="0" priority="2549"/>
  </conditionalFormatting>
  <conditionalFormatting sqref="WBJ101">
    <cfRule type="duplicateValues" dxfId="0" priority="2548"/>
  </conditionalFormatting>
  <conditionalFormatting sqref="WBQ101">
    <cfRule type="duplicateValues" dxfId="0" priority="2547"/>
  </conditionalFormatting>
  <conditionalFormatting sqref="WBX101">
    <cfRule type="duplicateValues" dxfId="0" priority="2546"/>
  </conditionalFormatting>
  <conditionalFormatting sqref="WCE101">
    <cfRule type="duplicateValues" dxfId="0" priority="2545"/>
  </conditionalFormatting>
  <conditionalFormatting sqref="WCL101">
    <cfRule type="duplicateValues" dxfId="0" priority="2544"/>
  </conditionalFormatting>
  <conditionalFormatting sqref="WCS101">
    <cfRule type="duplicateValues" dxfId="0" priority="2543"/>
  </conditionalFormatting>
  <conditionalFormatting sqref="WCZ101">
    <cfRule type="duplicateValues" dxfId="0" priority="2542"/>
  </conditionalFormatting>
  <conditionalFormatting sqref="WDG101">
    <cfRule type="duplicateValues" dxfId="0" priority="2541"/>
  </conditionalFormatting>
  <conditionalFormatting sqref="WDN101">
    <cfRule type="duplicateValues" dxfId="0" priority="2540"/>
  </conditionalFormatting>
  <conditionalFormatting sqref="WDU101">
    <cfRule type="duplicateValues" dxfId="0" priority="2539"/>
  </conditionalFormatting>
  <conditionalFormatting sqref="WEB101">
    <cfRule type="duplicateValues" dxfId="0" priority="2538"/>
  </conditionalFormatting>
  <conditionalFormatting sqref="WEI101">
    <cfRule type="duplicateValues" dxfId="0" priority="2537"/>
  </conditionalFormatting>
  <conditionalFormatting sqref="WEP101">
    <cfRule type="duplicateValues" dxfId="0" priority="2536"/>
  </conditionalFormatting>
  <conditionalFormatting sqref="WEW101">
    <cfRule type="duplicateValues" dxfId="0" priority="2535"/>
  </conditionalFormatting>
  <conditionalFormatting sqref="WFD101">
    <cfRule type="duplicateValues" dxfId="0" priority="2534"/>
  </conditionalFormatting>
  <conditionalFormatting sqref="WFK101">
    <cfRule type="duplicateValues" dxfId="0" priority="2533"/>
  </conditionalFormatting>
  <conditionalFormatting sqref="WFR101">
    <cfRule type="duplicateValues" dxfId="0" priority="2532"/>
  </conditionalFormatting>
  <conditionalFormatting sqref="WFY101">
    <cfRule type="duplicateValues" dxfId="0" priority="2531"/>
  </conditionalFormatting>
  <conditionalFormatting sqref="WGF101">
    <cfRule type="duplicateValues" dxfId="0" priority="2530"/>
  </conditionalFormatting>
  <conditionalFormatting sqref="WGM101">
    <cfRule type="duplicateValues" dxfId="0" priority="2529"/>
  </conditionalFormatting>
  <conditionalFormatting sqref="WGT101">
    <cfRule type="duplicateValues" dxfId="0" priority="2528"/>
  </conditionalFormatting>
  <conditionalFormatting sqref="WHA101">
    <cfRule type="duplicateValues" dxfId="0" priority="2527"/>
  </conditionalFormatting>
  <conditionalFormatting sqref="WHH101">
    <cfRule type="duplicateValues" dxfId="0" priority="2526"/>
  </conditionalFormatting>
  <conditionalFormatting sqref="WHO101">
    <cfRule type="duplicateValues" dxfId="0" priority="2525"/>
  </conditionalFormatting>
  <conditionalFormatting sqref="WHV101">
    <cfRule type="duplicateValues" dxfId="0" priority="2524"/>
  </conditionalFormatting>
  <conditionalFormatting sqref="WIC101">
    <cfRule type="duplicateValues" dxfId="0" priority="2523"/>
  </conditionalFormatting>
  <conditionalFormatting sqref="WIJ101">
    <cfRule type="duplicateValues" dxfId="0" priority="2522"/>
  </conditionalFormatting>
  <conditionalFormatting sqref="WIQ101">
    <cfRule type="duplicateValues" dxfId="0" priority="2521"/>
  </conditionalFormatting>
  <conditionalFormatting sqref="WIX101">
    <cfRule type="duplicateValues" dxfId="0" priority="2520"/>
  </conditionalFormatting>
  <conditionalFormatting sqref="WJE101">
    <cfRule type="duplicateValues" dxfId="0" priority="2519"/>
  </conditionalFormatting>
  <conditionalFormatting sqref="WJL101">
    <cfRule type="duplicateValues" dxfId="0" priority="2518"/>
  </conditionalFormatting>
  <conditionalFormatting sqref="WJS101">
    <cfRule type="duplicateValues" dxfId="0" priority="2517"/>
  </conditionalFormatting>
  <conditionalFormatting sqref="WJZ101">
    <cfRule type="duplicateValues" dxfId="0" priority="2516"/>
  </conditionalFormatting>
  <conditionalFormatting sqref="WKG101">
    <cfRule type="duplicateValues" dxfId="0" priority="2515"/>
  </conditionalFormatting>
  <conditionalFormatting sqref="WKN101">
    <cfRule type="duplicateValues" dxfId="0" priority="2514"/>
  </conditionalFormatting>
  <conditionalFormatting sqref="WKU101">
    <cfRule type="duplicateValues" dxfId="0" priority="2513"/>
  </conditionalFormatting>
  <conditionalFormatting sqref="WLB101">
    <cfRule type="duplicateValues" dxfId="0" priority="2512"/>
  </conditionalFormatting>
  <conditionalFormatting sqref="WLI101">
    <cfRule type="duplicateValues" dxfId="0" priority="2511"/>
  </conditionalFormatting>
  <conditionalFormatting sqref="WLP101">
    <cfRule type="duplicateValues" dxfId="0" priority="2510"/>
  </conditionalFormatting>
  <conditionalFormatting sqref="WLW101">
    <cfRule type="duplicateValues" dxfId="0" priority="2509"/>
  </conditionalFormatting>
  <conditionalFormatting sqref="WMD101">
    <cfRule type="duplicateValues" dxfId="0" priority="2508"/>
  </conditionalFormatting>
  <conditionalFormatting sqref="WMK101">
    <cfRule type="duplicateValues" dxfId="0" priority="2507"/>
  </conditionalFormatting>
  <conditionalFormatting sqref="WMR101">
    <cfRule type="duplicateValues" dxfId="0" priority="2506"/>
  </conditionalFormatting>
  <conditionalFormatting sqref="WMY101">
    <cfRule type="duplicateValues" dxfId="0" priority="2505"/>
  </conditionalFormatting>
  <conditionalFormatting sqref="WNF101">
    <cfRule type="duplicateValues" dxfId="0" priority="2504"/>
  </conditionalFormatting>
  <conditionalFormatting sqref="WNM101">
    <cfRule type="duplicateValues" dxfId="0" priority="2503"/>
  </conditionalFormatting>
  <conditionalFormatting sqref="WNT101">
    <cfRule type="duplicateValues" dxfId="0" priority="2502"/>
  </conditionalFormatting>
  <conditionalFormatting sqref="WOA101">
    <cfRule type="duplicateValues" dxfId="0" priority="2501"/>
  </conditionalFormatting>
  <conditionalFormatting sqref="WOH101">
    <cfRule type="duplicateValues" dxfId="0" priority="2500"/>
  </conditionalFormatting>
  <conditionalFormatting sqref="WOO101">
    <cfRule type="duplicateValues" dxfId="0" priority="2499"/>
  </conditionalFormatting>
  <conditionalFormatting sqref="WOV101">
    <cfRule type="duplicateValues" dxfId="0" priority="2498"/>
  </conditionalFormatting>
  <conditionalFormatting sqref="WPC101">
    <cfRule type="duplicateValues" dxfId="0" priority="2497"/>
  </conditionalFormatting>
  <conditionalFormatting sqref="WPJ101">
    <cfRule type="duplicateValues" dxfId="0" priority="2496"/>
  </conditionalFormatting>
  <conditionalFormatting sqref="WPQ101">
    <cfRule type="duplicateValues" dxfId="0" priority="2495"/>
  </conditionalFormatting>
  <conditionalFormatting sqref="WPX101">
    <cfRule type="duplicateValues" dxfId="0" priority="2494"/>
  </conditionalFormatting>
  <conditionalFormatting sqref="WQE101">
    <cfRule type="duplicateValues" dxfId="0" priority="2493"/>
  </conditionalFormatting>
  <conditionalFormatting sqref="WQL101">
    <cfRule type="duplicateValues" dxfId="0" priority="2492"/>
  </conditionalFormatting>
  <conditionalFormatting sqref="WQS101">
    <cfRule type="duplicateValues" dxfId="0" priority="2491"/>
  </conditionalFormatting>
  <conditionalFormatting sqref="WQZ101">
    <cfRule type="duplicateValues" dxfId="0" priority="2490"/>
  </conditionalFormatting>
  <conditionalFormatting sqref="WRG101">
    <cfRule type="duplicateValues" dxfId="0" priority="2489"/>
  </conditionalFormatting>
  <conditionalFormatting sqref="WRN101">
    <cfRule type="duplicateValues" dxfId="0" priority="2488"/>
  </conditionalFormatting>
  <conditionalFormatting sqref="WRU101">
    <cfRule type="duplicateValues" dxfId="0" priority="2487"/>
  </conditionalFormatting>
  <conditionalFormatting sqref="WSB101">
    <cfRule type="duplicateValues" dxfId="0" priority="2486"/>
  </conditionalFormatting>
  <conditionalFormatting sqref="WSI101">
    <cfRule type="duplicateValues" dxfId="0" priority="2485"/>
  </conditionalFormatting>
  <conditionalFormatting sqref="WSP101">
    <cfRule type="duplicateValues" dxfId="0" priority="2484"/>
  </conditionalFormatting>
  <conditionalFormatting sqref="WSW101">
    <cfRule type="duplicateValues" dxfId="0" priority="2483"/>
  </conditionalFormatting>
  <conditionalFormatting sqref="WTD101">
    <cfRule type="duplicateValues" dxfId="0" priority="2482"/>
  </conditionalFormatting>
  <conditionalFormatting sqref="WTK101">
    <cfRule type="duplicateValues" dxfId="0" priority="2481"/>
  </conditionalFormatting>
  <conditionalFormatting sqref="WTR101">
    <cfRule type="duplicateValues" dxfId="0" priority="2480"/>
  </conditionalFormatting>
  <conditionalFormatting sqref="WTY101">
    <cfRule type="duplicateValues" dxfId="0" priority="2479"/>
  </conditionalFormatting>
  <conditionalFormatting sqref="WUF101">
    <cfRule type="duplicateValues" dxfId="0" priority="2478"/>
  </conditionalFormatting>
  <conditionalFormatting sqref="WUM101">
    <cfRule type="duplicateValues" dxfId="0" priority="2477"/>
  </conditionalFormatting>
  <conditionalFormatting sqref="WUT101">
    <cfRule type="duplicateValues" dxfId="0" priority="2476"/>
  </conditionalFormatting>
  <conditionalFormatting sqref="WVA101">
    <cfRule type="duplicateValues" dxfId="0" priority="2475"/>
  </conditionalFormatting>
  <conditionalFormatting sqref="WVH101">
    <cfRule type="duplicateValues" dxfId="0" priority="2474"/>
  </conditionalFormatting>
  <conditionalFormatting sqref="WVO101">
    <cfRule type="duplicateValues" dxfId="0" priority="2473"/>
  </conditionalFormatting>
  <conditionalFormatting sqref="WVV101">
    <cfRule type="duplicateValues" dxfId="0" priority="2472"/>
  </conditionalFormatting>
  <conditionalFormatting sqref="WWC101">
    <cfRule type="duplicateValues" dxfId="0" priority="2471"/>
  </conditionalFormatting>
  <conditionalFormatting sqref="WWJ101">
    <cfRule type="duplicateValues" dxfId="0" priority="2470"/>
  </conditionalFormatting>
  <conditionalFormatting sqref="WWQ101">
    <cfRule type="duplicateValues" dxfId="0" priority="2469"/>
  </conditionalFormatting>
  <conditionalFormatting sqref="WWX101">
    <cfRule type="duplicateValues" dxfId="0" priority="2468"/>
  </conditionalFormatting>
  <conditionalFormatting sqref="WXE101">
    <cfRule type="duplicateValues" dxfId="0" priority="2467"/>
  </conditionalFormatting>
  <conditionalFormatting sqref="WXL101">
    <cfRule type="duplicateValues" dxfId="0" priority="2466"/>
  </conditionalFormatting>
  <conditionalFormatting sqref="WXS101">
    <cfRule type="duplicateValues" dxfId="0" priority="2465"/>
  </conditionalFormatting>
  <conditionalFormatting sqref="WXZ101">
    <cfRule type="duplicateValues" dxfId="0" priority="2464"/>
  </conditionalFormatting>
  <conditionalFormatting sqref="WYG101">
    <cfRule type="duplicateValues" dxfId="0" priority="2463"/>
  </conditionalFormatting>
  <conditionalFormatting sqref="WYN101">
    <cfRule type="duplicateValues" dxfId="0" priority="2462"/>
  </conditionalFormatting>
  <conditionalFormatting sqref="WYU101">
    <cfRule type="duplicateValues" dxfId="0" priority="2461"/>
  </conditionalFormatting>
  <conditionalFormatting sqref="WZB101">
    <cfRule type="duplicateValues" dxfId="0" priority="2460"/>
  </conditionalFormatting>
  <conditionalFormatting sqref="WZI101">
    <cfRule type="duplicateValues" dxfId="0" priority="2459"/>
  </conditionalFormatting>
  <conditionalFormatting sqref="WZP101">
    <cfRule type="duplicateValues" dxfId="0" priority="2458"/>
  </conditionalFormatting>
  <conditionalFormatting sqref="WZW101">
    <cfRule type="duplicateValues" dxfId="0" priority="2457"/>
  </conditionalFormatting>
  <conditionalFormatting sqref="XAD101">
    <cfRule type="duplicateValues" dxfId="0" priority="2456"/>
  </conditionalFormatting>
  <conditionalFormatting sqref="XAK101">
    <cfRule type="duplicateValues" dxfId="0" priority="2455"/>
  </conditionalFormatting>
  <conditionalFormatting sqref="XAR101">
    <cfRule type="duplicateValues" dxfId="0" priority="2454"/>
  </conditionalFormatting>
  <conditionalFormatting sqref="XAY101">
    <cfRule type="duplicateValues" dxfId="0" priority="2453"/>
  </conditionalFormatting>
  <conditionalFormatting sqref="XBF101">
    <cfRule type="duplicateValues" dxfId="0" priority="2452"/>
  </conditionalFormatting>
  <conditionalFormatting sqref="XBM101">
    <cfRule type="duplicateValues" dxfId="0" priority="2451"/>
  </conditionalFormatting>
  <conditionalFormatting sqref="XBT101">
    <cfRule type="duplicateValues" dxfId="0" priority="2450"/>
  </conditionalFormatting>
  <conditionalFormatting sqref="XCA101">
    <cfRule type="duplicateValues" dxfId="0" priority="2449"/>
  </conditionalFormatting>
  <conditionalFormatting sqref="XCH101">
    <cfRule type="duplicateValues" dxfId="0" priority="2448"/>
  </conditionalFormatting>
  <conditionalFormatting sqref="XCO101">
    <cfRule type="duplicateValues" dxfId="0" priority="2447"/>
  </conditionalFormatting>
  <conditionalFormatting sqref="XCV101">
    <cfRule type="duplicateValues" dxfId="0" priority="2446"/>
  </conditionalFormatting>
  <conditionalFormatting sqref="XDC101">
    <cfRule type="duplicateValues" dxfId="0" priority="2445"/>
  </conditionalFormatting>
  <conditionalFormatting sqref="XDJ101">
    <cfRule type="duplicateValues" dxfId="0" priority="2444"/>
  </conditionalFormatting>
  <conditionalFormatting sqref="XDQ101">
    <cfRule type="duplicateValues" dxfId="0" priority="2443"/>
  </conditionalFormatting>
  <conditionalFormatting sqref="XDX101">
    <cfRule type="duplicateValues" dxfId="0" priority="2442"/>
  </conditionalFormatting>
  <conditionalFormatting sqref="XEE101">
    <cfRule type="duplicateValues" dxfId="0" priority="2441"/>
  </conditionalFormatting>
  <conditionalFormatting sqref="XEL101">
    <cfRule type="duplicateValues" dxfId="0" priority="2440"/>
  </conditionalFormatting>
  <conditionalFormatting sqref="XES101">
    <cfRule type="duplicateValues" dxfId="0" priority="2439"/>
  </conditionalFormatting>
  <conditionalFormatting sqref="XEZ101">
    <cfRule type="duplicateValues" dxfId="0" priority="2438"/>
  </conditionalFormatting>
  <conditionalFormatting sqref="F102">
    <cfRule type="duplicateValues" dxfId="0" priority="30"/>
  </conditionalFormatting>
  <conditionalFormatting sqref="N102">
    <cfRule type="duplicateValues" dxfId="0" priority="2436"/>
  </conditionalFormatting>
  <conditionalFormatting sqref="U102">
    <cfRule type="duplicateValues" dxfId="0" priority="2435"/>
  </conditionalFormatting>
  <conditionalFormatting sqref="AB102">
    <cfRule type="duplicateValues" dxfId="0" priority="2434"/>
  </conditionalFormatting>
  <conditionalFormatting sqref="AI102">
    <cfRule type="duplicateValues" dxfId="0" priority="2433"/>
  </conditionalFormatting>
  <conditionalFormatting sqref="AP102">
    <cfRule type="duplicateValues" dxfId="0" priority="2432"/>
  </conditionalFormatting>
  <conditionalFormatting sqref="AW102">
    <cfRule type="duplicateValues" dxfId="0" priority="2431"/>
  </conditionalFormatting>
  <conditionalFormatting sqref="BD102">
    <cfRule type="duplicateValues" dxfId="0" priority="2430"/>
  </conditionalFormatting>
  <conditionalFormatting sqref="BK102">
    <cfRule type="duplicateValues" dxfId="0" priority="2429"/>
  </conditionalFormatting>
  <conditionalFormatting sqref="BR102">
    <cfRule type="duplicateValues" dxfId="0" priority="2428"/>
  </conditionalFormatting>
  <conditionalFormatting sqref="BY102">
    <cfRule type="duplicateValues" dxfId="0" priority="2427"/>
  </conditionalFormatting>
  <conditionalFormatting sqref="CF102">
    <cfRule type="duplicateValues" dxfId="0" priority="2426"/>
  </conditionalFormatting>
  <conditionalFormatting sqref="CM102">
    <cfRule type="duplicateValues" dxfId="0" priority="2425"/>
  </conditionalFormatting>
  <conditionalFormatting sqref="CT102">
    <cfRule type="duplicateValues" dxfId="0" priority="2424"/>
  </conditionalFormatting>
  <conditionalFormatting sqref="DA102">
    <cfRule type="duplicateValues" dxfId="0" priority="2423"/>
  </conditionalFormatting>
  <conditionalFormatting sqref="DH102">
    <cfRule type="duplicateValues" dxfId="0" priority="2422"/>
  </conditionalFormatting>
  <conditionalFormatting sqref="DO102">
    <cfRule type="duplicateValues" dxfId="0" priority="2421"/>
  </conditionalFormatting>
  <conditionalFormatting sqref="DV102">
    <cfRule type="duplicateValues" dxfId="0" priority="2420"/>
  </conditionalFormatting>
  <conditionalFormatting sqref="EC102">
    <cfRule type="duplicateValues" dxfId="0" priority="2419"/>
  </conditionalFormatting>
  <conditionalFormatting sqref="EJ102">
    <cfRule type="duplicateValues" dxfId="0" priority="2418"/>
  </conditionalFormatting>
  <conditionalFormatting sqref="EQ102">
    <cfRule type="duplicateValues" dxfId="0" priority="2417"/>
  </conditionalFormatting>
  <conditionalFormatting sqref="EX102">
    <cfRule type="duplicateValues" dxfId="0" priority="2416"/>
  </conditionalFormatting>
  <conditionalFormatting sqref="FE102">
    <cfRule type="duplicateValues" dxfId="0" priority="2415"/>
  </conditionalFormatting>
  <conditionalFormatting sqref="FL102">
    <cfRule type="duplicateValues" dxfId="0" priority="2414"/>
  </conditionalFormatting>
  <conditionalFormatting sqref="FS102">
    <cfRule type="duplicateValues" dxfId="0" priority="2413"/>
  </conditionalFormatting>
  <conditionalFormatting sqref="FZ102">
    <cfRule type="duplicateValues" dxfId="0" priority="2412"/>
  </conditionalFormatting>
  <conditionalFormatting sqref="GG102">
    <cfRule type="duplicateValues" dxfId="0" priority="2411"/>
  </conditionalFormatting>
  <conditionalFormatting sqref="GN102">
    <cfRule type="duplicateValues" dxfId="0" priority="2410"/>
  </conditionalFormatting>
  <conditionalFormatting sqref="GU102">
    <cfRule type="duplicateValues" dxfId="0" priority="2409"/>
  </conditionalFormatting>
  <conditionalFormatting sqref="HB102">
    <cfRule type="duplicateValues" dxfId="0" priority="2408"/>
  </conditionalFormatting>
  <conditionalFormatting sqref="HI102">
    <cfRule type="duplicateValues" dxfId="0" priority="2407"/>
  </conditionalFormatting>
  <conditionalFormatting sqref="HP102">
    <cfRule type="duplicateValues" dxfId="0" priority="2406"/>
  </conditionalFormatting>
  <conditionalFormatting sqref="HW102">
    <cfRule type="duplicateValues" dxfId="0" priority="2405"/>
  </conditionalFormatting>
  <conditionalFormatting sqref="ID102">
    <cfRule type="duplicateValues" dxfId="0" priority="2404"/>
  </conditionalFormatting>
  <conditionalFormatting sqref="IK102">
    <cfRule type="duplicateValues" dxfId="0" priority="2403"/>
  </conditionalFormatting>
  <conditionalFormatting sqref="IR102">
    <cfRule type="duplicateValues" dxfId="0" priority="2402"/>
  </conditionalFormatting>
  <conditionalFormatting sqref="IY102">
    <cfRule type="duplicateValues" dxfId="0" priority="2401"/>
  </conditionalFormatting>
  <conditionalFormatting sqref="JF102">
    <cfRule type="duplicateValues" dxfId="0" priority="2400"/>
  </conditionalFormatting>
  <conditionalFormatting sqref="JM102">
    <cfRule type="duplicateValues" dxfId="0" priority="2399"/>
  </conditionalFormatting>
  <conditionalFormatting sqref="JT102">
    <cfRule type="duplicateValues" dxfId="0" priority="2398"/>
  </conditionalFormatting>
  <conditionalFormatting sqref="KA102">
    <cfRule type="duplicateValues" dxfId="0" priority="2397"/>
  </conditionalFormatting>
  <conditionalFormatting sqref="KH102">
    <cfRule type="duplicateValues" dxfId="0" priority="2396"/>
  </conditionalFormatting>
  <conditionalFormatting sqref="KO102">
    <cfRule type="duplicateValues" dxfId="0" priority="2395"/>
  </conditionalFormatting>
  <conditionalFormatting sqref="KV102">
    <cfRule type="duplicateValues" dxfId="0" priority="2394"/>
  </conditionalFormatting>
  <conditionalFormatting sqref="LC102">
    <cfRule type="duplicateValues" dxfId="0" priority="2393"/>
  </conditionalFormatting>
  <conditionalFormatting sqref="LJ102">
    <cfRule type="duplicateValues" dxfId="0" priority="2392"/>
  </conditionalFormatting>
  <conditionalFormatting sqref="LQ102">
    <cfRule type="duplicateValues" dxfId="0" priority="2391"/>
  </conditionalFormatting>
  <conditionalFormatting sqref="LX102">
    <cfRule type="duplicateValues" dxfId="0" priority="2390"/>
  </conditionalFormatting>
  <conditionalFormatting sqref="ME102">
    <cfRule type="duplicateValues" dxfId="0" priority="2389"/>
  </conditionalFormatting>
  <conditionalFormatting sqref="ML102">
    <cfRule type="duplicateValues" dxfId="0" priority="2388"/>
  </conditionalFormatting>
  <conditionalFormatting sqref="MS102">
    <cfRule type="duplicateValues" dxfId="0" priority="2387"/>
  </conditionalFormatting>
  <conditionalFormatting sqref="MZ102">
    <cfRule type="duplicateValues" dxfId="0" priority="2386"/>
  </conditionalFormatting>
  <conditionalFormatting sqref="NG102">
    <cfRule type="duplicateValues" dxfId="0" priority="2385"/>
  </conditionalFormatting>
  <conditionalFormatting sqref="NN102">
    <cfRule type="duplicateValues" dxfId="0" priority="2384"/>
  </conditionalFormatting>
  <conditionalFormatting sqref="NU102">
    <cfRule type="duplicateValues" dxfId="0" priority="2383"/>
  </conditionalFormatting>
  <conditionalFormatting sqref="OB102">
    <cfRule type="duplicateValues" dxfId="0" priority="2382"/>
  </conditionalFormatting>
  <conditionalFormatting sqref="OI102">
    <cfRule type="duplicateValues" dxfId="0" priority="2381"/>
  </conditionalFormatting>
  <conditionalFormatting sqref="OP102">
    <cfRule type="duplicateValues" dxfId="0" priority="2380"/>
  </conditionalFormatting>
  <conditionalFormatting sqref="OW102">
    <cfRule type="duplicateValues" dxfId="0" priority="2379"/>
  </conditionalFormatting>
  <conditionalFormatting sqref="PD102">
    <cfRule type="duplicateValues" dxfId="0" priority="2378"/>
  </conditionalFormatting>
  <conditionalFormatting sqref="PK102">
    <cfRule type="duplicateValues" dxfId="0" priority="2377"/>
  </conditionalFormatting>
  <conditionalFormatting sqref="PR102">
    <cfRule type="duplicateValues" dxfId="0" priority="2376"/>
  </conditionalFormatting>
  <conditionalFormatting sqref="PY102">
    <cfRule type="duplicateValues" dxfId="0" priority="2375"/>
  </conditionalFormatting>
  <conditionalFormatting sqref="QF102">
    <cfRule type="duplicateValues" dxfId="0" priority="2374"/>
  </conditionalFormatting>
  <conditionalFormatting sqref="QM102">
    <cfRule type="duplicateValues" dxfId="0" priority="2373"/>
  </conditionalFormatting>
  <conditionalFormatting sqref="QT102">
    <cfRule type="duplicateValues" dxfId="0" priority="2372"/>
  </conditionalFormatting>
  <conditionalFormatting sqref="RA102">
    <cfRule type="duplicateValues" dxfId="0" priority="2371"/>
  </conditionalFormatting>
  <conditionalFormatting sqref="RH102">
    <cfRule type="duplicateValues" dxfId="0" priority="2370"/>
  </conditionalFormatting>
  <conditionalFormatting sqref="RO102">
    <cfRule type="duplicateValues" dxfId="0" priority="2369"/>
  </conditionalFormatting>
  <conditionalFormatting sqref="RV102">
    <cfRule type="duplicateValues" dxfId="0" priority="2368"/>
  </conditionalFormatting>
  <conditionalFormatting sqref="SC102">
    <cfRule type="duplicateValues" dxfId="0" priority="2367"/>
  </conditionalFormatting>
  <conditionalFormatting sqref="SJ102">
    <cfRule type="duplicateValues" dxfId="0" priority="2366"/>
  </conditionalFormatting>
  <conditionalFormatting sqref="SQ102">
    <cfRule type="duplicateValues" dxfId="0" priority="2365"/>
  </conditionalFormatting>
  <conditionalFormatting sqref="SX102">
    <cfRule type="duplicateValues" dxfId="0" priority="2364"/>
  </conditionalFormatting>
  <conditionalFormatting sqref="TE102">
    <cfRule type="duplicateValues" dxfId="0" priority="2363"/>
  </conditionalFormatting>
  <conditionalFormatting sqref="TL102">
    <cfRule type="duplicateValues" dxfId="0" priority="2362"/>
  </conditionalFormatting>
  <conditionalFormatting sqref="TS102">
    <cfRule type="duplicateValues" dxfId="0" priority="2361"/>
  </conditionalFormatting>
  <conditionalFormatting sqref="TZ102">
    <cfRule type="duplicateValues" dxfId="0" priority="2360"/>
  </conditionalFormatting>
  <conditionalFormatting sqref="UG102">
    <cfRule type="duplicateValues" dxfId="0" priority="2359"/>
  </conditionalFormatting>
  <conditionalFormatting sqref="UN102">
    <cfRule type="duplicateValues" dxfId="0" priority="2358"/>
  </conditionalFormatting>
  <conditionalFormatting sqref="UU102">
    <cfRule type="duplicateValues" dxfId="0" priority="2357"/>
  </conditionalFormatting>
  <conditionalFormatting sqref="VB102">
    <cfRule type="duplicateValues" dxfId="0" priority="2356"/>
  </conditionalFormatting>
  <conditionalFormatting sqref="VI102">
    <cfRule type="duplicateValues" dxfId="0" priority="2355"/>
  </conditionalFormatting>
  <conditionalFormatting sqref="VP102">
    <cfRule type="duplicateValues" dxfId="0" priority="2354"/>
  </conditionalFormatting>
  <conditionalFormatting sqref="VW102">
    <cfRule type="duplicateValues" dxfId="0" priority="2353"/>
  </conditionalFormatting>
  <conditionalFormatting sqref="WD102">
    <cfRule type="duplicateValues" dxfId="0" priority="2352"/>
  </conditionalFormatting>
  <conditionalFormatting sqref="WK102">
    <cfRule type="duplicateValues" dxfId="0" priority="2351"/>
  </conditionalFormatting>
  <conditionalFormatting sqref="WR102">
    <cfRule type="duplicateValues" dxfId="0" priority="2350"/>
  </conditionalFormatting>
  <conditionalFormatting sqref="WY102">
    <cfRule type="duplicateValues" dxfId="0" priority="2349"/>
  </conditionalFormatting>
  <conditionalFormatting sqref="XF102">
    <cfRule type="duplicateValues" dxfId="0" priority="2348"/>
  </conditionalFormatting>
  <conditionalFormatting sqref="XM102">
    <cfRule type="duplicateValues" dxfId="0" priority="2347"/>
  </conditionalFormatting>
  <conditionalFormatting sqref="XT102">
    <cfRule type="duplicateValues" dxfId="0" priority="2346"/>
  </conditionalFormatting>
  <conditionalFormatting sqref="YA102">
    <cfRule type="duplicateValues" dxfId="0" priority="2345"/>
  </conditionalFormatting>
  <conditionalFormatting sqref="YH102">
    <cfRule type="duplicateValues" dxfId="0" priority="2344"/>
  </conditionalFormatting>
  <conditionalFormatting sqref="YO102">
    <cfRule type="duplicateValues" dxfId="0" priority="2343"/>
  </conditionalFormatting>
  <conditionalFormatting sqref="YV102">
    <cfRule type="duplicateValues" dxfId="0" priority="2342"/>
  </conditionalFormatting>
  <conditionalFormatting sqref="ZC102">
    <cfRule type="duplicateValues" dxfId="0" priority="2341"/>
  </conditionalFormatting>
  <conditionalFormatting sqref="ZJ102">
    <cfRule type="duplicateValues" dxfId="0" priority="2340"/>
  </conditionalFormatting>
  <conditionalFormatting sqref="ZQ102">
    <cfRule type="duplicateValues" dxfId="0" priority="2339"/>
  </conditionalFormatting>
  <conditionalFormatting sqref="ZX102">
    <cfRule type="duplicateValues" dxfId="0" priority="2338"/>
  </conditionalFormatting>
  <conditionalFormatting sqref="AAE102">
    <cfRule type="duplicateValues" dxfId="0" priority="2337"/>
  </conditionalFormatting>
  <conditionalFormatting sqref="AAL102">
    <cfRule type="duplicateValues" dxfId="0" priority="2336"/>
  </conditionalFormatting>
  <conditionalFormatting sqref="AAS102">
    <cfRule type="duplicateValues" dxfId="0" priority="2335"/>
  </conditionalFormatting>
  <conditionalFormatting sqref="AAZ102">
    <cfRule type="duplicateValues" dxfId="0" priority="2334"/>
  </conditionalFormatting>
  <conditionalFormatting sqref="ABG102">
    <cfRule type="duplicateValues" dxfId="0" priority="2333"/>
  </conditionalFormatting>
  <conditionalFormatting sqref="ABN102">
    <cfRule type="duplicateValues" dxfId="0" priority="2332"/>
  </conditionalFormatting>
  <conditionalFormatting sqref="ABU102">
    <cfRule type="duplicateValues" dxfId="0" priority="2331"/>
  </conditionalFormatting>
  <conditionalFormatting sqref="ACB102">
    <cfRule type="duplicateValues" dxfId="0" priority="2330"/>
  </conditionalFormatting>
  <conditionalFormatting sqref="ACI102">
    <cfRule type="duplicateValues" dxfId="0" priority="2329"/>
  </conditionalFormatting>
  <conditionalFormatting sqref="ACP102">
    <cfRule type="duplicateValues" dxfId="0" priority="2328"/>
  </conditionalFormatting>
  <conditionalFormatting sqref="ACW102">
    <cfRule type="duplicateValues" dxfId="0" priority="2327"/>
  </conditionalFormatting>
  <conditionalFormatting sqref="ADD102">
    <cfRule type="duplicateValues" dxfId="0" priority="2326"/>
  </conditionalFormatting>
  <conditionalFormatting sqref="ADK102">
    <cfRule type="duplicateValues" dxfId="0" priority="2325"/>
  </conditionalFormatting>
  <conditionalFormatting sqref="ADR102">
    <cfRule type="duplicateValues" dxfId="0" priority="2324"/>
  </conditionalFormatting>
  <conditionalFormatting sqref="ADY102">
    <cfRule type="duplicateValues" dxfId="0" priority="2323"/>
  </conditionalFormatting>
  <conditionalFormatting sqref="AEF102">
    <cfRule type="duplicateValues" dxfId="0" priority="2322"/>
  </conditionalFormatting>
  <conditionalFormatting sqref="AEM102">
    <cfRule type="duplicateValues" dxfId="0" priority="2321"/>
  </conditionalFormatting>
  <conditionalFormatting sqref="AET102">
    <cfRule type="duplicateValues" dxfId="0" priority="2320"/>
  </conditionalFormatting>
  <conditionalFormatting sqref="AFA102">
    <cfRule type="duplicateValues" dxfId="0" priority="2319"/>
  </conditionalFormatting>
  <conditionalFormatting sqref="AFH102">
    <cfRule type="duplicateValues" dxfId="0" priority="2318"/>
  </conditionalFormatting>
  <conditionalFormatting sqref="AFO102">
    <cfRule type="duplicateValues" dxfId="0" priority="2317"/>
  </conditionalFormatting>
  <conditionalFormatting sqref="AFV102">
    <cfRule type="duplicateValues" dxfId="0" priority="2316"/>
  </conditionalFormatting>
  <conditionalFormatting sqref="AGC102">
    <cfRule type="duplicateValues" dxfId="0" priority="2315"/>
  </conditionalFormatting>
  <conditionalFormatting sqref="AGJ102">
    <cfRule type="duplicateValues" dxfId="0" priority="2314"/>
  </conditionalFormatting>
  <conditionalFormatting sqref="AGQ102">
    <cfRule type="duplicateValues" dxfId="0" priority="2313"/>
  </conditionalFormatting>
  <conditionalFormatting sqref="AGX102">
    <cfRule type="duplicateValues" dxfId="0" priority="2312"/>
  </conditionalFormatting>
  <conditionalFormatting sqref="AHE102">
    <cfRule type="duplicateValues" dxfId="0" priority="2311"/>
  </conditionalFormatting>
  <conditionalFormatting sqref="AHL102">
    <cfRule type="duplicateValues" dxfId="0" priority="2310"/>
  </conditionalFormatting>
  <conditionalFormatting sqref="AHS102">
    <cfRule type="duplicateValues" dxfId="0" priority="2309"/>
  </conditionalFormatting>
  <conditionalFormatting sqref="AHZ102">
    <cfRule type="duplicateValues" dxfId="0" priority="2308"/>
  </conditionalFormatting>
  <conditionalFormatting sqref="AIG102">
    <cfRule type="duplicateValues" dxfId="0" priority="2307"/>
  </conditionalFormatting>
  <conditionalFormatting sqref="AIN102">
    <cfRule type="duplicateValues" dxfId="0" priority="2306"/>
  </conditionalFormatting>
  <conditionalFormatting sqref="AIU102">
    <cfRule type="duplicateValues" dxfId="0" priority="2305"/>
  </conditionalFormatting>
  <conditionalFormatting sqref="AJB102">
    <cfRule type="duplicateValues" dxfId="0" priority="2304"/>
  </conditionalFormatting>
  <conditionalFormatting sqref="AJI102">
    <cfRule type="duplicateValues" dxfId="0" priority="2303"/>
  </conditionalFormatting>
  <conditionalFormatting sqref="AJP102">
    <cfRule type="duplicateValues" dxfId="0" priority="2302"/>
  </conditionalFormatting>
  <conditionalFormatting sqref="AJW102">
    <cfRule type="duplicateValues" dxfId="0" priority="2301"/>
  </conditionalFormatting>
  <conditionalFormatting sqref="AKD102">
    <cfRule type="duplicateValues" dxfId="0" priority="2300"/>
  </conditionalFormatting>
  <conditionalFormatting sqref="AKK102">
    <cfRule type="duplicateValues" dxfId="0" priority="2299"/>
  </conditionalFormatting>
  <conditionalFormatting sqref="AKR102">
    <cfRule type="duplicateValues" dxfId="0" priority="2298"/>
  </conditionalFormatting>
  <conditionalFormatting sqref="AKY102">
    <cfRule type="duplicateValues" dxfId="0" priority="2297"/>
  </conditionalFormatting>
  <conditionalFormatting sqref="ALF102">
    <cfRule type="duplicateValues" dxfId="0" priority="2296"/>
  </conditionalFormatting>
  <conditionalFormatting sqref="ALM102">
    <cfRule type="duplicateValues" dxfId="0" priority="2295"/>
  </conditionalFormatting>
  <conditionalFormatting sqref="ALT102">
    <cfRule type="duplicateValues" dxfId="0" priority="2294"/>
  </conditionalFormatting>
  <conditionalFormatting sqref="AMA102">
    <cfRule type="duplicateValues" dxfId="0" priority="2293"/>
  </conditionalFormatting>
  <conditionalFormatting sqref="AMH102">
    <cfRule type="duplicateValues" dxfId="0" priority="2292"/>
  </conditionalFormatting>
  <conditionalFormatting sqref="AMO102">
    <cfRule type="duplicateValues" dxfId="0" priority="2291"/>
  </conditionalFormatting>
  <conditionalFormatting sqref="AMV102">
    <cfRule type="duplicateValues" dxfId="0" priority="2290"/>
  </conditionalFormatting>
  <conditionalFormatting sqref="ANC102">
    <cfRule type="duplicateValues" dxfId="0" priority="2289"/>
  </conditionalFormatting>
  <conditionalFormatting sqref="ANJ102">
    <cfRule type="duplicateValues" dxfId="0" priority="2288"/>
  </conditionalFormatting>
  <conditionalFormatting sqref="ANQ102">
    <cfRule type="duplicateValues" dxfId="0" priority="2287"/>
  </conditionalFormatting>
  <conditionalFormatting sqref="ANX102">
    <cfRule type="duplicateValues" dxfId="0" priority="2286"/>
  </conditionalFormatting>
  <conditionalFormatting sqref="AOE102">
    <cfRule type="duplicateValues" dxfId="0" priority="2285"/>
  </conditionalFormatting>
  <conditionalFormatting sqref="AOL102">
    <cfRule type="duplicateValues" dxfId="0" priority="2284"/>
  </conditionalFormatting>
  <conditionalFormatting sqref="AOS102">
    <cfRule type="duplicateValues" dxfId="0" priority="2283"/>
  </conditionalFormatting>
  <conditionalFormatting sqref="AOZ102">
    <cfRule type="duplicateValues" dxfId="0" priority="2282"/>
  </conditionalFormatting>
  <conditionalFormatting sqref="APG102">
    <cfRule type="duplicateValues" dxfId="0" priority="2281"/>
  </conditionalFormatting>
  <conditionalFormatting sqref="APN102">
    <cfRule type="duplicateValues" dxfId="0" priority="2280"/>
  </conditionalFormatting>
  <conditionalFormatting sqref="APU102">
    <cfRule type="duplicateValues" dxfId="0" priority="2279"/>
  </conditionalFormatting>
  <conditionalFormatting sqref="AQB102">
    <cfRule type="duplicateValues" dxfId="0" priority="2278"/>
  </conditionalFormatting>
  <conditionalFormatting sqref="AQI102">
    <cfRule type="duplicateValues" dxfId="0" priority="2277"/>
  </conditionalFormatting>
  <conditionalFormatting sqref="AQP102">
    <cfRule type="duplicateValues" dxfId="0" priority="2276"/>
  </conditionalFormatting>
  <conditionalFormatting sqref="AQW102">
    <cfRule type="duplicateValues" dxfId="0" priority="2275"/>
  </conditionalFormatting>
  <conditionalFormatting sqref="ARD102">
    <cfRule type="duplicateValues" dxfId="0" priority="2274"/>
  </conditionalFormatting>
  <conditionalFormatting sqref="ARK102">
    <cfRule type="duplicateValues" dxfId="0" priority="2273"/>
  </conditionalFormatting>
  <conditionalFormatting sqref="ARR102">
    <cfRule type="duplicateValues" dxfId="0" priority="2272"/>
  </conditionalFormatting>
  <conditionalFormatting sqref="ARY102">
    <cfRule type="duplicateValues" dxfId="0" priority="2271"/>
  </conditionalFormatting>
  <conditionalFormatting sqref="ASF102">
    <cfRule type="duplicateValues" dxfId="0" priority="2270"/>
  </conditionalFormatting>
  <conditionalFormatting sqref="ASM102">
    <cfRule type="duplicateValues" dxfId="0" priority="2269"/>
  </conditionalFormatting>
  <conditionalFormatting sqref="AST102">
    <cfRule type="duplicateValues" dxfId="0" priority="2268"/>
  </conditionalFormatting>
  <conditionalFormatting sqref="ATA102">
    <cfRule type="duplicateValues" dxfId="0" priority="2267"/>
  </conditionalFormatting>
  <conditionalFormatting sqref="ATH102">
    <cfRule type="duplicateValues" dxfId="0" priority="2266"/>
  </conditionalFormatting>
  <conditionalFormatting sqref="ATO102">
    <cfRule type="duplicateValues" dxfId="0" priority="2265"/>
  </conditionalFormatting>
  <conditionalFormatting sqref="ATV102">
    <cfRule type="duplicateValues" dxfId="0" priority="2264"/>
  </conditionalFormatting>
  <conditionalFormatting sqref="AUC102">
    <cfRule type="duplicateValues" dxfId="0" priority="2263"/>
  </conditionalFormatting>
  <conditionalFormatting sqref="AUJ102">
    <cfRule type="duplicateValues" dxfId="0" priority="2262"/>
  </conditionalFormatting>
  <conditionalFormatting sqref="AUQ102">
    <cfRule type="duplicateValues" dxfId="0" priority="2261"/>
  </conditionalFormatting>
  <conditionalFormatting sqref="AUX102">
    <cfRule type="duplicateValues" dxfId="0" priority="2260"/>
  </conditionalFormatting>
  <conditionalFormatting sqref="AVE102">
    <cfRule type="duplicateValues" dxfId="0" priority="2259"/>
  </conditionalFormatting>
  <conditionalFormatting sqref="AVL102">
    <cfRule type="duplicateValues" dxfId="0" priority="2258"/>
  </conditionalFormatting>
  <conditionalFormatting sqref="AVS102">
    <cfRule type="duplicateValues" dxfId="0" priority="2257"/>
  </conditionalFormatting>
  <conditionalFormatting sqref="AVZ102">
    <cfRule type="duplicateValues" dxfId="0" priority="2256"/>
  </conditionalFormatting>
  <conditionalFormatting sqref="AWG102">
    <cfRule type="duplicateValues" dxfId="0" priority="2255"/>
  </conditionalFormatting>
  <conditionalFormatting sqref="AWN102">
    <cfRule type="duplicateValues" dxfId="0" priority="2254"/>
  </conditionalFormatting>
  <conditionalFormatting sqref="AWU102">
    <cfRule type="duplicateValues" dxfId="0" priority="2253"/>
  </conditionalFormatting>
  <conditionalFormatting sqref="AXB102">
    <cfRule type="duplicateValues" dxfId="0" priority="2252"/>
  </conditionalFormatting>
  <conditionalFormatting sqref="AXI102">
    <cfRule type="duplicateValues" dxfId="0" priority="2251"/>
  </conditionalFormatting>
  <conditionalFormatting sqref="AXP102">
    <cfRule type="duplicateValues" dxfId="0" priority="2250"/>
  </conditionalFormatting>
  <conditionalFormatting sqref="AXW102">
    <cfRule type="duplicateValues" dxfId="0" priority="2249"/>
  </conditionalFormatting>
  <conditionalFormatting sqref="AYD102">
    <cfRule type="duplicateValues" dxfId="0" priority="2248"/>
  </conditionalFormatting>
  <conditionalFormatting sqref="AYK102">
    <cfRule type="duplicateValues" dxfId="0" priority="2247"/>
  </conditionalFormatting>
  <conditionalFormatting sqref="AYR102">
    <cfRule type="duplicateValues" dxfId="0" priority="2246"/>
  </conditionalFormatting>
  <conditionalFormatting sqref="AYY102">
    <cfRule type="duplicateValues" dxfId="0" priority="2245"/>
  </conditionalFormatting>
  <conditionalFormatting sqref="AZF102">
    <cfRule type="duplicateValues" dxfId="0" priority="2244"/>
  </conditionalFormatting>
  <conditionalFormatting sqref="AZM102">
    <cfRule type="duplicateValues" dxfId="0" priority="2243"/>
  </conditionalFormatting>
  <conditionalFormatting sqref="AZT102">
    <cfRule type="duplicateValues" dxfId="0" priority="2242"/>
  </conditionalFormatting>
  <conditionalFormatting sqref="BAA102">
    <cfRule type="duplicateValues" dxfId="0" priority="2241"/>
  </conditionalFormatting>
  <conditionalFormatting sqref="BAH102">
    <cfRule type="duplicateValues" dxfId="0" priority="2240"/>
  </conditionalFormatting>
  <conditionalFormatting sqref="BAO102">
    <cfRule type="duplicateValues" dxfId="0" priority="2239"/>
  </conditionalFormatting>
  <conditionalFormatting sqref="BAV102">
    <cfRule type="duplicateValues" dxfId="0" priority="2238"/>
  </conditionalFormatting>
  <conditionalFormatting sqref="BBC102">
    <cfRule type="duplicateValues" dxfId="0" priority="2237"/>
  </conditionalFormatting>
  <conditionalFormatting sqref="BBJ102">
    <cfRule type="duplicateValues" dxfId="0" priority="2236"/>
  </conditionalFormatting>
  <conditionalFormatting sqref="BBQ102">
    <cfRule type="duplicateValues" dxfId="0" priority="2235"/>
  </conditionalFormatting>
  <conditionalFormatting sqref="BBX102">
    <cfRule type="duplicateValues" dxfId="0" priority="2234"/>
  </conditionalFormatting>
  <conditionalFormatting sqref="BCE102">
    <cfRule type="duplicateValues" dxfId="0" priority="2233"/>
  </conditionalFormatting>
  <conditionalFormatting sqref="BCL102">
    <cfRule type="duplicateValues" dxfId="0" priority="2232"/>
  </conditionalFormatting>
  <conditionalFormatting sqref="BCS102">
    <cfRule type="duplicateValues" dxfId="0" priority="2231"/>
  </conditionalFormatting>
  <conditionalFormatting sqref="BCZ102">
    <cfRule type="duplicateValues" dxfId="0" priority="2230"/>
  </conditionalFormatting>
  <conditionalFormatting sqref="BDG102">
    <cfRule type="duplicateValues" dxfId="0" priority="2229"/>
  </conditionalFormatting>
  <conditionalFormatting sqref="BDN102">
    <cfRule type="duplicateValues" dxfId="0" priority="2228"/>
  </conditionalFormatting>
  <conditionalFormatting sqref="BDU102">
    <cfRule type="duplicateValues" dxfId="0" priority="2227"/>
  </conditionalFormatting>
  <conditionalFormatting sqref="BEB102">
    <cfRule type="duplicateValues" dxfId="0" priority="2226"/>
  </conditionalFormatting>
  <conditionalFormatting sqref="BEI102">
    <cfRule type="duplicateValues" dxfId="0" priority="2225"/>
  </conditionalFormatting>
  <conditionalFormatting sqref="BEP102">
    <cfRule type="duplicateValues" dxfId="0" priority="2224"/>
  </conditionalFormatting>
  <conditionalFormatting sqref="BEW102">
    <cfRule type="duplicateValues" dxfId="0" priority="2223"/>
  </conditionalFormatting>
  <conditionalFormatting sqref="BFD102">
    <cfRule type="duplicateValues" dxfId="0" priority="2222"/>
  </conditionalFormatting>
  <conditionalFormatting sqref="BFK102">
    <cfRule type="duplicateValues" dxfId="0" priority="2221"/>
  </conditionalFormatting>
  <conditionalFormatting sqref="BFR102">
    <cfRule type="duplicateValues" dxfId="0" priority="2220"/>
  </conditionalFormatting>
  <conditionalFormatting sqref="BFY102">
    <cfRule type="duplicateValues" dxfId="0" priority="2219"/>
  </conditionalFormatting>
  <conditionalFormatting sqref="BGF102">
    <cfRule type="duplicateValues" dxfId="0" priority="2218"/>
  </conditionalFormatting>
  <conditionalFormatting sqref="BGM102">
    <cfRule type="duplicateValues" dxfId="0" priority="2217"/>
  </conditionalFormatting>
  <conditionalFormatting sqref="BGT102">
    <cfRule type="duplicateValues" dxfId="0" priority="2216"/>
  </conditionalFormatting>
  <conditionalFormatting sqref="BHA102">
    <cfRule type="duplicateValues" dxfId="0" priority="2215"/>
  </conditionalFormatting>
  <conditionalFormatting sqref="BHH102">
    <cfRule type="duplicateValues" dxfId="0" priority="2214"/>
  </conditionalFormatting>
  <conditionalFormatting sqref="BHO102">
    <cfRule type="duplicateValues" dxfId="0" priority="2213"/>
  </conditionalFormatting>
  <conditionalFormatting sqref="BHV102">
    <cfRule type="duplicateValues" dxfId="0" priority="2212"/>
  </conditionalFormatting>
  <conditionalFormatting sqref="BIC102">
    <cfRule type="duplicateValues" dxfId="0" priority="2211"/>
  </conditionalFormatting>
  <conditionalFormatting sqref="BIJ102">
    <cfRule type="duplicateValues" dxfId="0" priority="2210"/>
  </conditionalFormatting>
  <conditionalFormatting sqref="BIQ102">
    <cfRule type="duplicateValues" dxfId="0" priority="2209"/>
  </conditionalFormatting>
  <conditionalFormatting sqref="BIX102">
    <cfRule type="duplicateValues" dxfId="0" priority="2208"/>
  </conditionalFormatting>
  <conditionalFormatting sqref="BJE102">
    <cfRule type="duplicateValues" dxfId="0" priority="2207"/>
  </conditionalFormatting>
  <conditionalFormatting sqref="BJL102">
    <cfRule type="duplicateValues" dxfId="0" priority="2206"/>
  </conditionalFormatting>
  <conditionalFormatting sqref="BJS102">
    <cfRule type="duplicateValues" dxfId="0" priority="2205"/>
  </conditionalFormatting>
  <conditionalFormatting sqref="BJZ102">
    <cfRule type="duplicateValues" dxfId="0" priority="2204"/>
  </conditionalFormatting>
  <conditionalFormatting sqref="BKG102">
    <cfRule type="duplicateValues" dxfId="0" priority="2203"/>
  </conditionalFormatting>
  <conditionalFormatting sqref="BKN102">
    <cfRule type="duplicateValues" dxfId="0" priority="2202"/>
  </conditionalFormatting>
  <conditionalFormatting sqref="BKU102">
    <cfRule type="duplicateValues" dxfId="0" priority="2201"/>
  </conditionalFormatting>
  <conditionalFormatting sqref="BLB102">
    <cfRule type="duplicateValues" dxfId="0" priority="2200"/>
  </conditionalFormatting>
  <conditionalFormatting sqref="BLI102">
    <cfRule type="duplicateValues" dxfId="0" priority="2199"/>
  </conditionalFormatting>
  <conditionalFormatting sqref="BLP102">
    <cfRule type="duplicateValues" dxfId="0" priority="2198"/>
  </conditionalFormatting>
  <conditionalFormatting sqref="BLW102">
    <cfRule type="duplicateValues" dxfId="0" priority="2197"/>
  </conditionalFormatting>
  <conditionalFormatting sqref="BMD102">
    <cfRule type="duplicateValues" dxfId="0" priority="2196"/>
  </conditionalFormatting>
  <conditionalFormatting sqref="BMK102">
    <cfRule type="duplicateValues" dxfId="0" priority="2195"/>
  </conditionalFormatting>
  <conditionalFormatting sqref="BMR102">
    <cfRule type="duplicateValues" dxfId="0" priority="2194"/>
  </conditionalFormatting>
  <conditionalFormatting sqref="BMY102">
    <cfRule type="duplicateValues" dxfId="0" priority="2193"/>
  </conditionalFormatting>
  <conditionalFormatting sqref="BNF102">
    <cfRule type="duplicateValues" dxfId="0" priority="2192"/>
  </conditionalFormatting>
  <conditionalFormatting sqref="BNM102">
    <cfRule type="duplicateValues" dxfId="0" priority="2191"/>
  </conditionalFormatting>
  <conditionalFormatting sqref="BNT102">
    <cfRule type="duplicateValues" dxfId="0" priority="2190"/>
  </conditionalFormatting>
  <conditionalFormatting sqref="BOA102">
    <cfRule type="duplicateValues" dxfId="0" priority="2189"/>
  </conditionalFormatting>
  <conditionalFormatting sqref="BOH102">
    <cfRule type="duplicateValues" dxfId="0" priority="2188"/>
  </conditionalFormatting>
  <conditionalFormatting sqref="BOO102">
    <cfRule type="duplicateValues" dxfId="0" priority="2187"/>
  </conditionalFormatting>
  <conditionalFormatting sqref="BOV102">
    <cfRule type="duplicateValues" dxfId="0" priority="2186"/>
  </conditionalFormatting>
  <conditionalFormatting sqref="BPC102">
    <cfRule type="duplicateValues" dxfId="0" priority="2185"/>
  </conditionalFormatting>
  <conditionalFormatting sqref="BPJ102">
    <cfRule type="duplicateValues" dxfId="0" priority="2184"/>
  </conditionalFormatting>
  <conditionalFormatting sqref="BPQ102">
    <cfRule type="duplicateValues" dxfId="0" priority="2183"/>
  </conditionalFormatting>
  <conditionalFormatting sqref="BPX102">
    <cfRule type="duplicateValues" dxfId="0" priority="2182"/>
  </conditionalFormatting>
  <conditionalFormatting sqref="BQE102">
    <cfRule type="duplicateValues" dxfId="0" priority="2181"/>
  </conditionalFormatting>
  <conditionalFormatting sqref="BQL102">
    <cfRule type="duplicateValues" dxfId="0" priority="2180"/>
  </conditionalFormatting>
  <conditionalFormatting sqref="BQS102">
    <cfRule type="duplicateValues" dxfId="0" priority="2179"/>
  </conditionalFormatting>
  <conditionalFormatting sqref="BQZ102">
    <cfRule type="duplicateValues" dxfId="0" priority="2178"/>
  </conditionalFormatting>
  <conditionalFormatting sqref="BRG102">
    <cfRule type="duplicateValues" dxfId="0" priority="2177"/>
  </conditionalFormatting>
  <conditionalFormatting sqref="BRN102">
    <cfRule type="duplicateValues" dxfId="0" priority="2176"/>
  </conditionalFormatting>
  <conditionalFormatting sqref="BRU102">
    <cfRule type="duplicateValues" dxfId="0" priority="2175"/>
  </conditionalFormatting>
  <conditionalFormatting sqref="BSB102">
    <cfRule type="duplicateValues" dxfId="0" priority="2174"/>
  </conditionalFormatting>
  <conditionalFormatting sqref="BSI102">
    <cfRule type="duplicateValues" dxfId="0" priority="2173"/>
  </conditionalFormatting>
  <conditionalFormatting sqref="BSP102">
    <cfRule type="duplicateValues" dxfId="0" priority="2172"/>
  </conditionalFormatting>
  <conditionalFormatting sqref="BSW102">
    <cfRule type="duplicateValues" dxfId="0" priority="2171"/>
  </conditionalFormatting>
  <conditionalFormatting sqref="BTD102">
    <cfRule type="duplicateValues" dxfId="0" priority="2170"/>
  </conditionalFormatting>
  <conditionalFormatting sqref="BTK102">
    <cfRule type="duplicateValues" dxfId="0" priority="2169"/>
  </conditionalFormatting>
  <conditionalFormatting sqref="BTR102">
    <cfRule type="duplicateValues" dxfId="0" priority="2168"/>
  </conditionalFormatting>
  <conditionalFormatting sqref="BTY102">
    <cfRule type="duplicateValues" dxfId="0" priority="2167"/>
  </conditionalFormatting>
  <conditionalFormatting sqref="BUF102">
    <cfRule type="duplicateValues" dxfId="0" priority="2166"/>
  </conditionalFormatting>
  <conditionalFormatting sqref="BUM102">
    <cfRule type="duplicateValues" dxfId="0" priority="2165"/>
  </conditionalFormatting>
  <conditionalFormatting sqref="BUT102">
    <cfRule type="duplicateValues" dxfId="0" priority="2164"/>
  </conditionalFormatting>
  <conditionalFormatting sqref="BVA102">
    <cfRule type="duplicateValues" dxfId="0" priority="2163"/>
  </conditionalFormatting>
  <conditionalFormatting sqref="BVH102">
    <cfRule type="duplicateValues" dxfId="0" priority="2162"/>
  </conditionalFormatting>
  <conditionalFormatting sqref="BVO102">
    <cfRule type="duplicateValues" dxfId="0" priority="2161"/>
  </conditionalFormatting>
  <conditionalFormatting sqref="BVV102">
    <cfRule type="duplicateValues" dxfId="0" priority="2160"/>
  </conditionalFormatting>
  <conditionalFormatting sqref="BWC102">
    <cfRule type="duplicateValues" dxfId="0" priority="2159"/>
  </conditionalFormatting>
  <conditionalFormatting sqref="BWJ102">
    <cfRule type="duplicateValues" dxfId="0" priority="2158"/>
  </conditionalFormatting>
  <conditionalFormatting sqref="BWQ102">
    <cfRule type="duplicateValues" dxfId="0" priority="2157"/>
  </conditionalFormatting>
  <conditionalFormatting sqref="BWX102">
    <cfRule type="duplicateValues" dxfId="0" priority="2156"/>
  </conditionalFormatting>
  <conditionalFormatting sqref="BXE102">
    <cfRule type="duplicateValues" dxfId="0" priority="2155"/>
  </conditionalFormatting>
  <conditionalFormatting sqref="BXL102">
    <cfRule type="duplicateValues" dxfId="0" priority="2154"/>
  </conditionalFormatting>
  <conditionalFormatting sqref="BXS102">
    <cfRule type="duplicateValues" dxfId="0" priority="2153"/>
  </conditionalFormatting>
  <conditionalFormatting sqref="BXZ102">
    <cfRule type="duplicateValues" dxfId="0" priority="2152"/>
  </conditionalFormatting>
  <conditionalFormatting sqref="BYG102">
    <cfRule type="duplicateValues" dxfId="0" priority="2151"/>
  </conditionalFormatting>
  <conditionalFormatting sqref="BYN102">
    <cfRule type="duplicateValues" dxfId="0" priority="2150"/>
  </conditionalFormatting>
  <conditionalFormatting sqref="BYU102">
    <cfRule type="duplicateValues" dxfId="0" priority="2149"/>
  </conditionalFormatting>
  <conditionalFormatting sqref="BZB102">
    <cfRule type="duplicateValues" dxfId="0" priority="2148"/>
  </conditionalFormatting>
  <conditionalFormatting sqref="BZI102">
    <cfRule type="duplicateValues" dxfId="0" priority="2147"/>
  </conditionalFormatting>
  <conditionalFormatting sqref="BZP102">
    <cfRule type="duplicateValues" dxfId="0" priority="2146"/>
  </conditionalFormatting>
  <conditionalFormatting sqref="BZW102">
    <cfRule type="duplicateValues" dxfId="0" priority="2145"/>
  </conditionalFormatting>
  <conditionalFormatting sqref="CAD102">
    <cfRule type="duplicateValues" dxfId="0" priority="2144"/>
  </conditionalFormatting>
  <conditionalFormatting sqref="CAK102">
    <cfRule type="duplicateValues" dxfId="0" priority="2143"/>
  </conditionalFormatting>
  <conditionalFormatting sqref="CAR102">
    <cfRule type="duplicateValues" dxfId="0" priority="2142"/>
  </conditionalFormatting>
  <conditionalFormatting sqref="CAY102">
    <cfRule type="duplicateValues" dxfId="0" priority="2141"/>
  </conditionalFormatting>
  <conditionalFormatting sqref="CBF102">
    <cfRule type="duplicateValues" dxfId="0" priority="2140"/>
  </conditionalFormatting>
  <conditionalFormatting sqref="CBM102">
    <cfRule type="duplicateValues" dxfId="0" priority="2139"/>
  </conditionalFormatting>
  <conditionalFormatting sqref="CBT102">
    <cfRule type="duplicateValues" dxfId="0" priority="2138"/>
  </conditionalFormatting>
  <conditionalFormatting sqref="CCA102">
    <cfRule type="duplicateValues" dxfId="0" priority="2137"/>
  </conditionalFormatting>
  <conditionalFormatting sqref="CCH102">
    <cfRule type="duplicateValues" dxfId="0" priority="2136"/>
  </conditionalFormatting>
  <conditionalFormatting sqref="CCO102">
    <cfRule type="duplicateValues" dxfId="0" priority="2135"/>
  </conditionalFormatting>
  <conditionalFormatting sqref="CCV102">
    <cfRule type="duplicateValues" dxfId="0" priority="2134"/>
  </conditionalFormatting>
  <conditionalFormatting sqref="CDC102">
    <cfRule type="duplicateValues" dxfId="0" priority="2133"/>
  </conditionalFormatting>
  <conditionalFormatting sqref="CDJ102">
    <cfRule type="duplicateValues" dxfId="0" priority="2132"/>
  </conditionalFormatting>
  <conditionalFormatting sqref="CDQ102">
    <cfRule type="duplicateValues" dxfId="0" priority="2131"/>
  </conditionalFormatting>
  <conditionalFormatting sqref="CDX102">
    <cfRule type="duplicateValues" dxfId="0" priority="2130"/>
  </conditionalFormatting>
  <conditionalFormatting sqref="CEE102">
    <cfRule type="duplicateValues" dxfId="0" priority="2129"/>
  </conditionalFormatting>
  <conditionalFormatting sqref="CEL102">
    <cfRule type="duplicateValues" dxfId="0" priority="2128"/>
  </conditionalFormatting>
  <conditionalFormatting sqref="CES102">
    <cfRule type="duplicateValues" dxfId="0" priority="2127"/>
  </conditionalFormatting>
  <conditionalFormatting sqref="CEZ102">
    <cfRule type="duplicateValues" dxfId="0" priority="2126"/>
  </conditionalFormatting>
  <conditionalFormatting sqref="CFG102">
    <cfRule type="duplicateValues" dxfId="0" priority="2125"/>
  </conditionalFormatting>
  <conditionalFormatting sqref="CFN102">
    <cfRule type="duplicateValues" dxfId="0" priority="2124"/>
  </conditionalFormatting>
  <conditionalFormatting sqref="CFU102">
    <cfRule type="duplicateValues" dxfId="0" priority="2123"/>
  </conditionalFormatting>
  <conditionalFormatting sqref="CGB102">
    <cfRule type="duplicateValues" dxfId="0" priority="2122"/>
  </conditionalFormatting>
  <conditionalFormatting sqref="CGI102">
    <cfRule type="duplicateValues" dxfId="0" priority="2121"/>
  </conditionalFormatting>
  <conditionalFormatting sqref="CGP102">
    <cfRule type="duplicateValues" dxfId="0" priority="2120"/>
  </conditionalFormatting>
  <conditionalFormatting sqref="CGW102">
    <cfRule type="duplicateValues" dxfId="0" priority="2119"/>
  </conditionalFormatting>
  <conditionalFormatting sqref="CHD102">
    <cfRule type="duplicateValues" dxfId="0" priority="2118"/>
  </conditionalFormatting>
  <conditionalFormatting sqref="CHK102">
    <cfRule type="duplicateValues" dxfId="0" priority="2117"/>
  </conditionalFormatting>
  <conditionalFormatting sqref="CHR102">
    <cfRule type="duplicateValues" dxfId="0" priority="2116"/>
  </conditionalFormatting>
  <conditionalFormatting sqref="CHY102">
    <cfRule type="duplicateValues" dxfId="0" priority="2115"/>
  </conditionalFormatting>
  <conditionalFormatting sqref="CIF102">
    <cfRule type="duplicateValues" dxfId="0" priority="2114"/>
  </conditionalFormatting>
  <conditionalFormatting sqref="CIM102">
    <cfRule type="duplicateValues" dxfId="0" priority="2113"/>
  </conditionalFormatting>
  <conditionalFormatting sqref="CIT102">
    <cfRule type="duplicateValues" dxfId="0" priority="2112"/>
  </conditionalFormatting>
  <conditionalFormatting sqref="CJA102">
    <cfRule type="duplicateValues" dxfId="0" priority="2111"/>
  </conditionalFormatting>
  <conditionalFormatting sqref="CJH102">
    <cfRule type="duplicateValues" dxfId="0" priority="2110"/>
  </conditionalFormatting>
  <conditionalFormatting sqref="CJO102">
    <cfRule type="duplicateValues" dxfId="0" priority="2109"/>
  </conditionalFormatting>
  <conditionalFormatting sqref="CJV102">
    <cfRule type="duplicateValues" dxfId="0" priority="2108"/>
  </conditionalFormatting>
  <conditionalFormatting sqref="CKC102">
    <cfRule type="duplicateValues" dxfId="0" priority="2107"/>
  </conditionalFormatting>
  <conditionalFormatting sqref="CKJ102">
    <cfRule type="duplicateValues" dxfId="0" priority="2106"/>
  </conditionalFormatting>
  <conditionalFormatting sqref="CKQ102">
    <cfRule type="duplicateValues" dxfId="0" priority="2105"/>
  </conditionalFormatting>
  <conditionalFormatting sqref="CKX102">
    <cfRule type="duplicateValues" dxfId="0" priority="2104"/>
  </conditionalFormatting>
  <conditionalFormatting sqref="CLE102">
    <cfRule type="duplicateValues" dxfId="0" priority="2103"/>
  </conditionalFormatting>
  <conditionalFormatting sqref="CLL102">
    <cfRule type="duplicateValues" dxfId="0" priority="2102"/>
  </conditionalFormatting>
  <conditionalFormatting sqref="CLS102">
    <cfRule type="duplicateValues" dxfId="0" priority="2101"/>
  </conditionalFormatting>
  <conditionalFormatting sqref="CLZ102">
    <cfRule type="duplicateValues" dxfId="0" priority="2100"/>
  </conditionalFormatting>
  <conditionalFormatting sqref="CMG102">
    <cfRule type="duplicateValues" dxfId="0" priority="2099"/>
  </conditionalFormatting>
  <conditionalFormatting sqref="CMN102">
    <cfRule type="duplicateValues" dxfId="0" priority="2098"/>
  </conditionalFormatting>
  <conditionalFormatting sqref="CMU102">
    <cfRule type="duplicateValues" dxfId="0" priority="2097"/>
  </conditionalFormatting>
  <conditionalFormatting sqref="CNB102">
    <cfRule type="duplicateValues" dxfId="0" priority="2096"/>
  </conditionalFormatting>
  <conditionalFormatting sqref="CNI102">
    <cfRule type="duplicateValues" dxfId="0" priority="2095"/>
  </conditionalFormatting>
  <conditionalFormatting sqref="CNP102">
    <cfRule type="duplicateValues" dxfId="0" priority="2094"/>
  </conditionalFormatting>
  <conditionalFormatting sqref="CNW102">
    <cfRule type="duplicateValues" dxfId="0" priority="2093"/>
  </conditionalFormatting>
  <conditionalFormatting sqref="COD102">
    <cfRule type="duplicateValues" dxfId="0" priority="2092"/>
  </conditionalFormatting>
  <conditionalFormatting sqref="COK102">
    <cfRule type="duplicateValues" dxfId="0" priority="2091"/>
  </conditionalFormatting>
  <conditionalFormatting sqref="COR102">
    <cfRule type="duplicateValues" dxfId="0" priority="2090"/>
  </conditionalFormatting>
  <conditionalFormatting sqref="COY102">
    <cfRule type="duplicateValues" dxfId="0" priority="2089"/>
  </conditionalFormatting>
  <conditionalFormatting sqref="CPF102">
    <cfRule type="duplicateValues" dxfId="0" priority="2088"/>
  </conditionalFormatting>
  <conditionalFormatting sqref="CPM102">
    <cfRule type="duplicateValues" dxfId="0" priority="2087"/>
  </conditionalFormatting>
  <conditionalFormatting sqref="CPT102">
    <cfRule type="duplicateValues" dxfId="0" priority="2086"/>
  </conditionalFormatting>
  <conditionalFormatting sqref="CQA102">
    <cfRule type="duplicateValues" dxfId="0" priority="2085"/>
  </conditionalFormatting>
  <conditionalFormatting sqref="CQH102">
    <cfRule type="duplicateValues" dxfId="0" priority="2084"/>
  </conditionalFormatting>
  <conditionalFormatting sqref="CQO102">
    <cfRule type="duplicateValues" dxfId="0" priority="2083"/>
  </conditionalFormatting>
  <conditionalFormatting sqref="CQV102">
    <cfRule type="duplicateValues" dxfId="0" priority="2082"/>
  </conditionalFormatting>
  <conditionalFormatting sqref="CRC102">
    <cfRule type="duplicateValues" dxfId="0" priority="2081"/>
  </conditionalFormatting>
  <conditionalFormatting sqref="CRJ102">
    <cfRule type="duplicateValues" dxfId="0" priority="2080"/>
  </conditionalFormatting>
  <conditionalFormatting sqref="CRQ102">
    <cfRule type="duplicateValues" dxfId="0" priority="2079"/>
  </conditionalFormatting>
  <conditionalFormatting sqref="CRX102">
    <cfRule type="duplicateValues" dxfId="0" priority="2078"/>
  </conditionalFormatting>
  <conditionalFormatting sqref="CSE102">
    <cfRule type="duplicateValues" dxfId="0" priority="2077"/>
  </conditionalFormatting>
  <conditionalFormatting sqref="CSL102">
    <cfRule type="duplicateValues" dxfId="0" priority="2076"/>
  </conditionalFormatting>
  <conditionalFormatting sqref="CSS102">
    <cfRule type="duplicateValues" dxfId="0" priority="2075"/>
  </conditionalFormatting>
  <conditionalFormatting sqref="CSZ102">
    <cfRule type="duplicateValues" dxfId="0" priority="2074"/>
  </conditionalFormatting>
  <conditionalFormatting sqref="CTG102">
    <cfRule type="duplicateValues" dxfId="0" priority="2073"/>
  </conditionalFormatting>
  <conditionalFormatting sqref="CTN102">
    <cfRule type="duplicateValues" dxfId="0" priority="2072"/>
  </conditionalFormatting>
  <conditionalFormatting sqref="CTU102">
    <cfRule type="duplicateValues" dxfId="0" priority="2071"/>
  </conditionalFormatting>
  <conditionalFormatting sqref="CUB102">
    <cfRule type="duplicateValues" dxfId="0" priority="2070"/>
  </conditionalFormatting>
  <conditionalFormatting sqref="CUI102">
    <cfRule type="duplicateValues" dxfId="0" priority="2069"/>
  </conditionalFormatting>
  <conditionalFormatting sqref="CUP102">
    <cfRule type="duplicateValues" dxfId="0" priority="2068"/>
  </conditionalFormatting>
  <conditionalFormatting sqref="CUW102">
    <cfRule type="duplicateValues" dxfId="0" priority="2067"/>
  </conditionalFormatting>
  <conditionalFormatting sqref="CVD102">
    <cfRule type="duplicateValues" dxfId="0" priority="2066"/>
  </conditionalFormatting>
  <conditionalFormatting sqref="CVK102">
    <cfRule type="duplicateValues" dxfId="0" priority="2065"/>
  </conditionalFormatting>
  <conditionalFormatting sqref="CVR102">
    <cfRule type="duplicateValues" dxfId="0" priority="2064"/>
  </conditionalFormatting>
  <conditionalFormatting sqref="CVY102">
    <cfRule type="duplicateValues" dxfId="0" priority="2063"/>
  </conditionalFormatting>
  <conditionalFormatting sqref="CWF102">
    <cfRule type="duplicateValues" dxfId="0" priority="2062"/>
  </conditionalFormatting>
  <conditionalFormatting sqref="CWM102">
    <cfRule type="duplicateValues" dxfId="0" priority="2061"/>
  </conditionalFormatting>
  <conditionalFormatting sqref="CWT102">
    <cfRule type="duplicateValues" dxfId="0" priority="2060"/>
  </conditionalFormatting>
  <conditionalFormatting sqref="CXA102">
    <cfRule type="duplicateValues" dxfId="0" priority="2059"/>
  </conditionalFormatting>
  <conditionalFormatting sqref="CXH102">
    <cfRule type="duplicateValues" dxfId="0" priority="2058"/>
  </conditionalFormatting>
  <conditionalFormatting sqref="CXO102">
    <cfRule type="duplicateValues" dxfId="0" priority="2057"/>
  </conditionalFormatting>
  <conditionalFormatting sqref="CXV102">
    <cfRule type="duplicateValues" dxfId="0" priority="2056"/>
  </conditionalFormatting>
  <conditionalFormatting sqref="CYC102">
    <cfRule type="duplicateValues" dxfId="0" priority="2055"/>
  </conditionalFormatting>
  <conditionalFormatting sqref="CYJ102">
    <cfRule type="duplicateValues" dxfId="0" priority="2054"/>
  </conditionalFormatting>
  <conditionalFormatting sqref="CYQ102">
    <cfRule type="duplicateValues" dxfId="0" priority="2053"/>
  </conditionalFormatting>
  <conditionalFormatting sqref="CYX102">
    <cfRule type="duplicateValues" dxfId="0" priority="2052"/>
  </conditionalFormatting>
  <conditionalFormatting sqref="CZE102">
    <cfRule type="duplicateValues" dxfId="0" priority="2051"/>
  </conditionalFormatting>
  <conditionalFormatting sqref="CZL102">
    <cfRule type="duplicateValues" dxfId="0" priority="2050"/>
  </conditionalFormatting>
  <conditionalFormatting sqref="CZS102">
    <cfRule type="duplicateValues" dxfId="0" priority="2049"/>
  </conditionalFormatting>
  <conditionalFormatting sqref="CZZ102">
    <cfRule type="duplicateValues" dxfId="0" priority="2048"/>
  </conditionalFormatting>
  <conditionalFormatting sqref="DAG102">
    <cfRule type="duplicateValues" dxfId="0" priority="2047"/>
  </conditionalFormatting>
  <conditionalFormatting sqref="DAN102">
    <cfRule type="duplicateValues" dxfId="0" priority="2046"/>
  </conditionalFormatting>
  <conditionalFormatting sqref="DAU102">
    <cfRule type="duplicateValues" dxfId="0" priority="2045"/>
  </conditionalFormatting>
  <conditionalFormatting sqref="DBB102">
    <cfRule type="duplicateValues" dxfId="0" priority="2044"/>
  </conditionalFormatting>
  <conditionalFormatting sqref="DBI102">
    <cfRule type="duplicateValues" dxfId="0" priority="2043"/>
  </conditionalFormatting>
  <conditionalFormatting sqref="DBP102">
    <cfRule type="duplicateValues" dxfId="0" priority="2042"/>
  </conditionalFormatting>
  <conditionalFormatting sqref="DBW102">
    <cfRule type="duplicateValues" dxfId="0" priority="2041"/>
  </conditionalFormatting>
  <conditionalFormatting sqref="DCD102">
    <cfRule type="duplicateValues" dxfId="0" priority="2040"/>
  </conditionalFormatting>
  <conditionalFormatting sqref="DCK102">
    <cfRule type="duplicateValues" dxfId="0" priority="2039"/>
  </conditionalFormatting>
  <conditionalFormatting sqref="DCR102">
    <cfRule type="duplicateValues" dxfId="0" priority="2038"/>
  </conditionalFormatting>
  <conditionalFormatting sqref="DCY102">
    <cfRule type="duplicateValues" dxfId="0" priority="2037"/>
  </conditionalFormatting>
  <conditionalFormatting sqref="DDF102">
    <cfRule type="duplicateValues" dxfId="0" priority="2036"/>
  </conditionalFormatting>
  <conditionalFormatting sqref="DDM102">
    <cfRule type="duplicateValues" dxfId="0" priority="2035"/>
  </conditionalFormatting>
  <conditionalFormatting sqref="DDT102">
    <cfRule type="duplicateValues" dxfId="0" priority="2034"/>
  </conditionalFormatting>
  <conditionalFormatting sqref="DEA102">
    <cfRule type="duplicateValues" dxfId="0" priority="2033"/>
  </conditionalFormatting>
  <conditionalFormatting sqref="DEH102">
    <cfRule type="duplicateValues" dxfId="0" priority="2032"/>
  </conditionalFormatting>
  <conditionalFormatting sqref="DEO102">
    <cfRule type="duplicateValues" dxfId="0" priority="2031"/>
  </conditionalFormatting>
  <conditionalFormatting sqref="DEV102">
    <cfRule type="duplicateValues" dxfId="0" priority="2030"/>
  </conditionalFormatting>
  <conditionalFormatting sqref="DFC102">
    <cfRule type="duplicateValues" dxfId="0" priority="2029"/>
  </conditionalFormatting>
  <conditionalFormatting sqref="DFJ102">
    <cfRule type="duplicateValues" dxfId="0" priority="2028"/>
  </conditionalFormatting>
  <conditionalFormatting sqref="DFQ102">
    <cfRule type="duplicateValues" dxfId="0" priority="2027"/>
  </conditionalFormatting>
  <conditionalFormatting sqref="DFX102">
    <cfRule type="duplicateValues" dxfId="0" priority="2026"/>
  </conditionalFormatting>
  <conditionalFormatting sqref="DGE102">
    <cfRule type="duplicateValues" dxfId="0" priority="2025"/>
  </conditionalFormatting>
  <conditionalFormatting sqref="DGL102">
    <cfRule type="duplicateValues" dxfId="0" priority="2024"/>
  </conditionalFormatting>
  <conditionalFormatting sqref="DGS102">
    <cfRule type="duplicateValues" dxfId="0" priority="2023"/>
  </conditionalFormatting>
  <conditionalFormatting sqref="DGZ102">
    <cfRule type="duplicateValues" dxfId="0" priority="2022"/>
  </conditionalFormatting>
  <conditionalFormatting sqref="DHG102">
    <cfRule type="duplicateValues" dxfId="0" priority="2021"/>
  </conditionalFormatting>
  <conditionalFormatting sqref="DHN102">
    <cfRule type="duplicateValues" dxfId="0" priority="2020"/>
  </conditionalFormatting>
  <conditionalFormatting sqref="DHU102">
    <cfRule type="duplicateValues" dxfId="0" priority="2019"/>
  </conditionalFormatting>
  <conditionalFormatting sqref="DIB102">
    <cfRule type="duplicateValues" dxfId="0" priority="2018"/>
  </conditionalFormatting>
  <conditionalFormatting sqref="DII102">
    <cfRule type="duplicateValues" dxfId="0" priority="2017"/>
  </conditionalFormatting>
  <conditionalFormatting sqref="DIP102">
    <cfRule type="duplicateValues" dxfId="0" priority="2016"/>
  </conditionalFormatting>
  <conditionalFormatting sqref="DIW102">
    <cfRule type="duplicateValues" dxfId="0" priority="2015"/>
  </conditionalFormatting>
  <conditionalFormatting sqref="DJD102">
    <cfRule type="duplicateValues" dxfId="0" priority="2014"/>
  </conditionalFormatting>
  <conditionalFormatting sqref="DJK102">
    <cfRule type="duplicateValues" dxfId="0" priority="2013"/>
  </conditionalFormatting>
  <conditionalFormatting sqref="DJR102">
    <cfRule type="duplicateValues" dxfId="0" priority="2012"/>
  </conditionalFormatting>
  <conditionalFormatting sqref="DJY102">
    <cfRule type="duplicateValues" dxfId="0" priority="2011"/>
  </conditionalFormatting>
  <conditionalFormatting sqref="DKF102">
    <cfRule type="duplicateValues" dxfId="0" priority="2010"/>
  </conditionalFormatting>
  <conditionalFormatting sqref="DKM102">
    <cfRule type="duplicateValues" dxfId="0" priority="2009"/>
  </conditionalFormatting>
  <conditionalFormatting sqref="DKT102">
    <cfRule type="duplicateValues" dxfId="0" priority="2008"/>
  </conditionalFormatting>
  <conditionalFormatting sqref="DLA102">
    <cfRule type="duplicateValues" dxfId="0" priority="2007"/>
  </conditionalFormatting>
  <conditionalFormatting sqref="DLH102">
    <cfRule type="duplicateValues" dxfId="0" priority="2006"/>
  </conditionalFormatting>
  <conditionalFormatting sqref="DLO102">
    <cfRule type="duplicateValues" dxfId="0" priority="2005"/>
  </conditionalFormatting>
  <conditionalFormatting sqref="DLV102">
    <cfRule type="duplicateValues" dxfId="0" priority="2004"/>
  </conditionalFormatting>
  <conditionalFormatting sqref="DMC102">
    <cfRule type="duplicateValues" dxfId="0" priority="2003"/>
  </conditionalFormatting>
  <conditionalFormatting sqref="DMJ102">
    <cfRule type="duplicateValues" dxfId="0" priority="2002"/>
  </conditionalFormatting>
  <conditionalFormatting sqref="DMQ102">
    <cfRule type="duplicateValues" dxfId="0" priority="2001"/>
  </conditionalFormatting>
  <conditionalFormatting sqref="DMX102">
    <cfRule type="duplicateValues" dxfId="0" priority="2000"/>
  </conditionalFormatting>
  <conditionalFormatting sqref="DNE102">
    <cfRule type="duplicateValues" dxfId="0" priority="1999"/>
  </conditionalFormatting>
  <conditionalFormatting sqref="DNL102">
    <cfRule type="duplicateValues" dxfId="0" priority="1998"/>
  </conditionalFormatting>
  <conditionalFormatting sqref="DNS102">
    <cfRule type="duplicateValues" dxfId="0" priority="1997"/>
  </conditionalFormatting>
  <conditionalFormatting sqref="DNZ102">
    <cfRule type="duplicateValues" dxfId="0" priority="1996"/>
  </conditionalFormatting>
  <conditionalFormatting sqref="DOG102">
    <cfRule type="duplicateValues" dxfId="0" priority="1995"/>
  </conditionalFormatting>
  <conditionalFormatting sqref="DON102">
    <cfRule type="duplicateValues" dxfId="0" priority="1994"/>
  </conditionalFormatting>
  <conditionalFormatting sqref="DOU102">
    <cfRule type="duplicateValues" dxfId="0" priority="1993"/>
  </conditionalFormatting>
  <conditionalFormatting sqref="DPB102">
    <cfRule type="duplicateValues" dxfId="0" priority="1992"/>
  </conditionalFormatting>
  <conditionalFormatting sqref="DPI102">
    <cfRule type="duplicateValues" dxfId="0" priority="1991"/>
  </conditionalFormatting>
  <conditionalFormatting sqref="DPP102">
    <cfRule type="duplicateValues" dxfId="0" priority="1990"/>
  </conditionalFormatting>
  <conditionalFormatting sqref="DPW102">
    <cfRule type="duplicateValues" dxfId="0" priority="1989"/>
  </conditionalFormatting>
  <conditionalFormatting sqref="DQD102">
    <cfRule type="duplicateValues" dxfId="0" priority="1988"/>
  </conditionalFormatting>
  <conditionalFormatting sqref="DQK102">
    <cfRule type="duplicateValues" dxfId="0" priority="1987"/>
  </conditionalFormatting>
  <conditionalFormatting sqref="DQR102">
    <cfRule type="duplicateValues" dxfId="0" priority="1986"/>
  </conditionalFormatting>
  <conditionalFormatting sqref="DQY102">
    <cfRule type="duplicateValues" dxfId="0" priority="1985"/>
  </conditionalFormatting>
  <conditionalFormatting sqref="DRF102">
    <cfRule type="duplicateValues" dxfId="0" priority="1984"/>
  </conditionalFormatting>
  <conditionalFormatting sqref="DRM102">
    <cfRule type="duplicateValues" dxfId="0" priority="1983"/>
  </conditionalFormatting>
  <conditionalFormatting sqref="DRT102">
    <cfRule type="duplicateValues" dxfId="0" priority="1982"/>
  </conditionalFormatting>
  <conditionalFormatting sqref="DSA102">
    <cfRule type="duplicateValues" dxfId="0" priority="1981"/>
  </conditionalFormatting>
  <conditionalFormatting sqref="DSH102">
    <cfRule type="duplicateValues" dxfId="0" priority="1980"/>
  </conditionalFormatting>
  <conditionalFormatting sqref="DSO102">
    <cfRule type="duplicateValues" dxfId="0" priority="1979"/>
  </conditionalFormatting>
  <conditionalFormatting sqref="DSV102">
    <cfRule type="duplicateValues" dxfId="0" priority="1978"/>
  </conditionalFormatting>
  <conditionalFormatting sqref="DTC102">
    <cfRule type="duplicateValues" dxfId="0" priority="1977"/>
  </conditionalFormatting>
  <conditionalFormatting sqref="DTJ102">
    <cfRule type="duplicateValues" dxfId="0" priority="1976"/>
  </conditionalFormatting>
  <conditionalFormatting sqref="DTQ102">
    <cfRule type="duplicateValues" dxfId="0" priority="1975"/>
  </conditionalFormatting>
  <conditionalFormatting sqref="DTX102">
    <cfRule type="duplicateValues" dxfId="0" priority="1974"/>
  </conditionalFormatting>
  <conditionalFormatting sqref="DUE102">
    <cfRule type="duplicateValues" dxfId="0" priority="1973"/>
  </conditionalFormatting>
  <conditionalFormatting sqref="DUL102">
    <cfRule type="duplicateValues" dxfId="0" priority="1972"/>
  </conditionalFormatting>
  <conditionalFormatting sqref="DUS102">
    <cfRule type="duplicateValues" dxfId="0" priority="1971"/>
  </conditionalFormatting>
  <conditionalFormatting sqref="DUZ102">
    <cfRule type="duplicateValues" dxfId="0" priority="1970"/>
  </conditionalFormatting>
  <conditionalFormatting sqref="DVG102">
    <cfRule type="duplicateValues" dxfId="0" priority="1969"/>
  </conditionalFormatting>
  <conditionalFormatting sqref="DVN102">
    <cfRule type="duplicateValues" dxfId="0" priority="1968"/>
  </conditionalFormatting>
  <conditionalFormatting sqref="DVU102">
    <cfRule type="duplicateValues" dxfId="0" priority="1967"/>
  </conditionalFormatting>
  <conditionalFormatting sqref="DWB102">
    <cfRule type="duplicateValues" dxfId="0" priority="1966"/>
  </conditionalFormatting>
  <conditionalFormatting sqref="DWI102">
    <cfRule type="duplicateValues" dxfId="0" priority="1965"/>
  </conditionalFormatting>
  <conditionalFormatting sqref="DWP102">
    <cfRule type="duplicateValues" dxfId="0" priority="1964"/>
  </conditionalFormatting>
  <conditionalFormatting sqref="DWW102">
    <cfRule type="duplicateValues" dxfId="0" priority="1963"/>
  </conditionalFormatting>
  <conditionalFormatting sqref="DXD102">
    <cfRule type="duplicateValues" dxfId="0" priority="1962"/>
  </conditionalFormatting>
  <conditionalFormatting sqref="DXK102">
    <cfRule type="duplicateValues" dxfId="0" priority="1961"/>
  </conditionalFormatting>
  <conditionalFormatting sqref="DXR102">
    <cfRule type="duplicateValues" dxfId="0" priority="1960"/>
  </conditionalFormatting>
  <conditionalFormatting sqref="DXY102">
    <cfRule type="duplicateValues" dxfId="0" priority="1959"/>
  </conditionalFormatting>
  <conditionalFormatting sqref="DYF102">
    <cfRule type="duplicateValues" dxfId="0" priority="1958"/>
  </conditionalFormatting>
  <conditionalFormatting sqref="DYM102">
    <cfRule type="duplicateValues" dxfId="0" priority="1957"/>
  </conditionalFormatting>
  <conditionalFormatting sqref="DYT102">
    <cfRule type="duplicateValues" dxfId="0" priority="1956"/>
  </conditionalFormatting>
  <conditionalFormatting sqref="DZA102">
    <cfRule type="duplicateValues" dxfId="0" priority="1955"/>
  </conditionalFormatting>
  <conditionalFormatting sqref="DZH102">
    <cfRule type="duplicateValues" dxfId="0" priority="1954"/>
  </conditionalFormatting>
  <conditionalFormatting sqref="DZO102">
    <cfRule type="duplicateValues" dxfId="0" priority="1953"/>
  </conditionalFormatting>
  <conditionalFormatting sqref="DZV102">
    <cfRule type="duplicateValues" dxfId="0" priority="1952"/>
  </conditionalFormatting>
  <conditionalFormatting sqref="EAC102">
    <cfRule type="duplicateValues" dxfId="0" priority="1951"/>
  </conditionalFormatting>
  <conditionalFormatting sqref="EAJ102">
    <cfRule type="duplicateValues" dxfId="0" priority="1950"/>
  </conditionalFormatting>
  <conditionalFormatting sqref="EAQ102">
    <cfRule type="duplicateValues" dxfId="0" priority="1949"/>
  </conditionalFormatting>
  <conditionalFormatting sqref="EAX102">
    <cfRule type="duplicateValues" dxfId="0" priority="1948"/>
  </conditionalFormatting>
  <conditionalFormatting sqref="EBE102">
    <cfRule type="duplicateValues" dxfId="0" priority="1947"/>
  </conditionalFormatting>
  <conditionalFormatting sqref="EBL102">
    <cfRule type="duplicateValues" dxfId="0" priority="1946"/>
  </conditionalFormatting>
  <conditionalFormatting sqref="EBS102">
    <cfRule type="duplicateValues" dxfId="0" priority="1945"/>
  </conditionalFormatting>
  <conditionalFormatting sqref="EBZ102">
    <cfRule type="duplicateValues" dxfId="0" priority="1944"/>
  </conditionalFormatting>
  <conditionalFormatting sqref="ECG102">
    <cfRule type="duplicateValues" dxfId="0" priority="1943"/>
  </conditionalFormatting>
  <conditionalFormatting sqref="ECN102">
    <cfRule type="duplicateValues" dxfId="0" priority="1942"/>
  </conditionalFormatting>
  <conditionalFormatting sqref="ECU102">
    <cfRule type="duplicateValues" dxfId="0" priority="1941"/>
  </conditionalFormatting>
  <conditionalFormatting sqref="EDB102">
    <cfRule type="duplicateValues" dxfId="0" priority="1940"/>
  </conditionalFormatting>
  <conditionalFormatting sqref="EDI102">
    <cfRule type="duplicateValues" dxfId="0" priority="1939"/>
  </conditionalFormatting>
  <conditionalFormatting sqref="EDP102">
    <cfRule type="duplicateValues" dxfId="0" priority="1938"/>
  </conditionalFormatting>
  <conditionalFormatting sqref="EDW102">
    <cfRule type="duplicateValues" dxfId="0" priority="1937"/>
  </conditionalFormatting>
  <conditionalFormatting sqref="EED102">
    <cfRule type="duplicateValues" dxfId="0" priority="1936"/>
  </conditionalFormatting>
  <conditionalFormatting sqref="EEK102">
    <cfRule type="duplicateValues" dxfId="0" priority="1935"/>
  </conditionalFormatting>
  <conditionalFormatting sqref="EER102">
    <cfRule type="duplicateValues" dxfId="0" priority="1934"/>
  </conditionalFormatting>
  <conditionalFormatting sqref="EEY102">
    <cfRule type="duplicateValues" dxfId="0" priority="1933"/>
  </conditionalFormatting>
  <conditionalFormatting sqref="EFF102">
    <cfRule type="duplicateValues" dxfId="0" priority="1932"/>
  </conditionalFormatting>
  <conditionalFormatting sqref="EFM102">
    <cfRule type="duplicateValues" dxfId="0" priority="1931"/>
  </conditionalFormatting>
  <conditionalFormatting sqref="EFT102">
    <cfRule type="duplicateValues" dxfId="0" priority="1930"/>
  </conditionalFormatting>
  <conditionalFormatting sqref="EGA102">
    <cfRule type="duplicateValues" dxfId="0" priority="1929"/>
  </conditionalFormatting>
  <conditionalFormatting sqref="EGH102">
    <cfRule type="duplicateValues" dxfId="0" priority="1928"/>
  </conditionalFormatting>
  <conditionalFormatting sqref="EGO102">
    <cfRule type="duplicateValues" dxfId="0" priority="1927"/>
  </conditionalFormatting>
  <conditionalFormatting sqref="EGV102">
    <cfRule type="duplicateValues" dxfId="0" priority="1926"/>
  </conditionalFormatting>
  <conditionalFormatting sqref="EHC102">
    <cfRule type="duplicateValues" dxfId="0" priority="1925"/>
  </conditionalFormatting>
  <conditionalFormatting sqref="EHJ102">
    <cfRule type="duplicateValues" dxfId="0" priority="1924"/>
  </conditionalFormatting>
  <conditionalFormatting sqref="EHQ102">
    <cfRule type="duplicateValues" dxfId="0" priority="1923"/>
  </conditionalFormatting>
  <conditionalFormatting sqref="EHX102">
    <cfRule type="duplicateValues" dxfId="0" priority="1922"/>
  </conditionalFormatting>
  <conditionalFormatting sqref="EIE102">
    <cfRule type="duplicateValues" dxfId="0" priority="1921"/>
  </conditionalFormatting>
  <conditionalFormatting sqref="EIL102">
    <cfRule type="duplicateValues" dxfId="0" priority="1920"/>
  </conditionalFormatting>
  <conditionalFormatting sqref="EIS102">
    <cfRule type="duplicateValues" dxfId="0" priority="1919"/>
  </conditionalFormatting>
  <conditionalFormatting sqref="EIZ102">
    <cfRule type="duplicateValues" dxfId="0" priority="1918"/>
  </conditionalFormatting>
  <conditionalFormatting sqref="EJG102">
    <cfRule type="duplicateValues" dxfId="0" priority="1917"/>
  </conditionalFormatting>
  <conditionalFormatting sqref="EJN102">
    <cfRule type="duplicateValues" dxfId="0" priority="1916"/>
  </conditionalFormatting>
  <conditionalFormatting sqref="EJU102">
    <cfRule type="duplicateValues" dxfId="0" priority="1915"/>
  </conditionalFormatting>
  <conditionalFormatting sqref="EKB102">
    <cfRule type="duplicateValues" dxfId="0" priority="1914"/>
  </conditionalFormatting>
  <conditionalFormatting sqref="EKI102">
    <cfRule type="duplicateValues" dxfId="0" priority="1913"/>
  </conditionalFormatting>
  <conditionalFormatting sqref="EKP102">
    <cfRule type="duplicateValues" dxfId="0" priority="1912"/>
  </conditionalFormatting>
  <conditionalFormatting sqref="EKW102">
    <cfRule type="duplicateValues" dxfId="0" priority="1911"/>
  </conditionalFormatting>
  <conditionalFormatting sqref="ELD102">
    <cfRule type="duplicateValues" dxfId="0" priority="1910"/>
  </conditionalFormatting>
  <conditionalFormatting sqref="ELK102">
    <cfRule type="duplicateValues" dxfId="0" priority="1909"/>
  </conditionalFormatting>
  <conditionalFormatting sqref="ELR102">
    <cfRule type="duplicateValues" dxfId="0" priority="1908"/>
  </conditionalFormatting>
  <conditionalFormatting sqref="ELY102">
    <cfRule type="duplicateValues" dxfId="0" priority="1907"/>
  </conditionalFormatting>
  <conditionalFormatting sqref="EMF102">
    <cfRule type="duplicateValues" dxfId="0" priority="1906"/>
  </conditionalFormatting>
  <conditionalFormatting sqref="EMM102">
    <cfRule type="duplicateValues" dxfId="0" priority="1905"/>
  </conditionalFormatting>
  <conditionalFormatting sqref="EMT102">
    <cfRule type="duplicateValues" dxfId="0" priority="1904"/>
  </conditionalFormatting>
  <conditionalFormatting sqref="ENA102">
    <cfRule type="duplicateValues" dxfId="0" priority="1903"/>
  </conditionalFormatting>
  <conditionalFormatting sqref="ENH102">
    <cfRule type="duplicateValues" dxfId="0" priority="1902"/>
  </conditionalFormatting>
  <conditionalFormatting sqref="ENO102">
    <cfRule type="duplicateValues" dxfId="0" priority="1901"/>
  </conditionalFormatting>
  <conditionalFormatting sqref="ENV102">
    <cfRule type="duplicateValues" dxfId="0" priority="1900"/>
  </conditionalFormatting>
  <conditionalFormatting sqref="EOC102">
    <cfRule type="duplicateValues" dxfId="0" priority="1899"/>
  </conditionalFormatting>
  <conditionalFormatting sqref="EOJ102">
    <cfRule type="duplicateValues" dxfId="0" priority="1898"/>
  </conditionalFormatting>
  <conditionalFormatting sqref="EOQ102">
    <cfRule type="duplicateValues" dxfId="0" priority="1897"/>
  </conditionalFormatting>
  <conditionalFormatting sqref="EOX102">
    <cfRule type="duplicateValues" dxfId="0" priority="1896"/>
  </conditionalFormatting>
  <conditionalFormatting sqref="EPE102">
    <cfRule type="duplicateValues" dxfId="0" priority="1895"/>
  </conditionalFormatting>
  <conditionalFormatting sqref="EPL102">
    <cfRule type="duplicateValues" dxfId="0" priority="1894"/>
  </conditionalFormatting>
  <conditionalFormatting sqref="EPS102">
    <cfRule type="duplicateValues" dxfId="0" priority="1893"/>
  </conditionalFormatting>
  <conditionalFormatting sqref="EPZ102">
    <cfRule type="duplicateValues" dxfId="0" priority="1892"/>
  </conditionalFormatting>
  <conditionalFormatting sqref="EQG102">
    <cfRule type="duplicateValues" dxfId="0" priority="1891"/>
  </conditionalFormatting>
  <conditionalFormatting sqref="EQN102">
    <cfRule type="duplicateValues" dxfId="0" priority="1890"/>
  </conditionalFormatting>
  <conditionalFormatting sqref="EQU102">
    <cfRule type="duplicateValues" dxfId="0" priority="1889"/>
  </conditionalFormatting>
  <conditionalFormatting sqref="ERB102">
    <cfRule type="duplicateValues" dxfId="0" priority="1888"/>
  </conditionalFormatting>
  <conditionalFormatting sqref="ERI102">
    <cfRule type="duplicateValues" dxfId="0" priority="1887"/>
  </conditionalFormatting>
  <conditionalFormatting sqref="ERP102">
    <cfRule type="duplicateValues" dxfId="0" priority="1886"/>
  </conditionalFormatting>
  <conditionalFormatting sqref="ERW102">
    <cfRule type="duplicateValues" dxfId="0" priority="1885"/>
  </conditionalFormatting>
  <conditionalFormatting sqref="ESD102">
    <cfRule type="duplicateValues" dxfId="0" priority="1884"/>
  </conditionalFormatting>
  <conditionalFormatting sqref="ESK102">
    <cfRule type="duplicateValues" dxfId="0" priority="1883"/>
  </conditionalFormatting>
  <conditionalFormatting sqref="ESR102">
    <cfRule type="duplicateValues" dxfId="0" priority="1882"/>
  </conditionalFormatting>
  <conditionalFormatting sqref="ESY102">
    <cfRule type="duplicateValues" dxfId="0" priority="1881"/>
  </conditionalFormatting>
  <conditionalFormatting sqref="ETF102">
    <cfRule type="duplicateValues" dxfId="0" priority="1880"/>
  </conditionalFormatting>
  <conditionalFormatting sqref="ETM102">
    <cfRule type="duplicateValues" dxfId="0" priority="1879"/>
  </conditionalFormatting>
  <conditionalFormatting sqref="ETT102">
    <cfRule type="duplicateValues" dxfId="0" priority="1878"/>
  </conditionalFormatting>
  <conditionalFormatting sqref="EUA102">
    <cfRule type="duplicateValues" dxfId="0" priority="1877"/>
  </conditionalFormatting>
  <conditionalFormatting sqref="EUH102">
    <cfRule type="duplicateValues" dxfId="0" priority="1876"/>
  </conditionalFormatting>
  <conditionalFormatting sqref="EUO102">
    <cfRule type="duplicateValues" dxfId="0" priority="1875"/>
  </conditionalFormatting>
  <conditionalFormatting sqref="EUV102">
    <cfRule type="duplicateValues" dxfId="0" priority="1874"/>
  </conditionalFormatting>
  <conditionalFormatting sqref="EVC102">
    <cfRule type="duplicateValues" dxfId="0" priority="1873"/>
  </conditionalFormatting>
  <conditionalFormatting sqref="EVJ102">
    <cfRule type="duplicateValues" dxfId="0" priority="1872"/>
  </conditionalFormatting>
  <conditionalFormatting sqref="EVQ102">
    <cfRule type="duplicateValues" dxfId="0" priority="1871"/>
  </conditionalFormatting>
  <conditionalFormatting sqref="EVX102">
    <cfRule type="duplicateValues" dxfId="0" priority="1870"/>
  </conditionalFormatting>
  <conditionalFormatting sqref="EWE102">
    <cfRule type="duplicateValues" dxfId="0" priority="1869"/>
  </conditionalFormatting>
  <conditionalFormatting sqref="EWL102">
    <cfRule type="duplicateValues" dxfId="0" priority="1868"/>
  </conditionalFormatting>
  <conditionalFormatting sqref="EWS102">
    <cfRule type="duplicateValues" dxfId="0" priority="1867"/>
  </conditionalFormatting>
  <conditionalFormatting sqref="EWZ102">
    <cfRule type="duplicateValues" dxfId="0" priority="1866"/>
  </conditionalFormatting>
  <conditionalFormatting sqref="EXG102">
    <cfRule type="duplicateValues" dxfId="0" priority="1865"/>
  </conditionalFormatting>
  <conditionalFormatting sqref="EXN102">
    <cfRule type="duplicateValues" dxfId="0" priority="1864"/>
  </conditionalFormatting>
  <conditionalFormatting sqref="EXU102">
    <cfRule type="duplicateValues" dxfId="0" priority="1863"/>
  </conditionalFormatting>
  <conditionalFormatting sqref="EYB102">
    <cfRule type="duplicateValues" dxfId="0" priority="1862"/>
  </conditionalFormatting>
  <conditionalFormatting sqref="EYI102">
    <cfRule type="duplicateValues" dxfId="0" priority="1861"/>
  </conditionalFormatting>
  <conditionalFormatting sqref="EYP102">
    <cfRule type="duplicateValues" dxfId="0" priority="1860"/>
  </conditionalFormatting>
  <conditionalFormatting sqref="EYW102">
    <cfRule type="duplicateValues" dxfId="0" priority="1859"/>
  </conditionalFormatting>
  <conditionalFormatting sqref="EZD102">
    <cfRule type="duplicateValues" dxfId="0" priority="1858"/>
  </conditionalFormatting>
  <conditionalFormatting sqref="EZK102">
    <cfRule type="duplicateValues" dxfId="0" priority="1857"/>
  </conditionalFormatting>
  <conditionalFormatting sqref="EZR102">
    <cfRule type="duplicateValues" dxfId="0" priority="1856"/>
  </conditionalFormatting>
  <conditionalFormatting sqref="EZY102">
    <cfRule type="duplicateValues" dxfId="0" priority="1855"/>
  </conditionalFormatting>
  <conditionalFormatting sqref="FAF102">
    <cfRule type="duplicateValues" dxfId="0" priority="1854"/>
  </conditionalFormatting>
  <conditionalFormatting sqref="FAM102">
    <cfRule type="duplicateValues" dxfId="0" priority="1853"/>
  </conditionalFormatting>
  <conditionalFormatting sqref="FAT102">
    <cfRule type="duplicateValues" dxfId="0" priority="1852"/>
  </conditionalFormatting>
  <conditionalFormatting sqref="FBA102">
    <cfRule type="duplicateValues" dxfId="0" priority="1851"/>
  </conditionalFormatting>
  <conditionalFormatting sqref="FBH102">
    <cfRule type="duplicateValues" dxfId="0" priority="1850"/>
  </conditionalFormatting>
  <conditionalFormatting sqref="FBO102">
    <cfRule type="duplicateValues" dxfId="0" priority="1849"/>
  </conditionalFormatting>
  <conditionalFormatting sqref="FBV102">
    <cfRule type="duplicateValues" dxfId="0" priority="1848"/>
  </conditionalFormatting>
  <conditionalFormatting sqref="FCC102">
    <cfRule type="duplicateValues" dxfId="0" priority="1847"/>
  </conditionalFormatting>
  <conditionalFormatting sqref="FCJ102">
    <cfRule type="duplicateValues" dxfId="0" priority="1846"/>
  </conditionalFormatting>
  <conditionalFormatting sqref="FCQ102">
    <cfRule type="duplicateValues" dxfId="0" priority="1845"/>
  </conditionalFormatting>
  <conditionalFormatting sqref="FCX102">
    <cfRule type="duplicateValues" dxfId="0" priority="1844"/>
  </conditionalFormatting>
  <conditionalFormatting sqref="FDE102">
    <cfRule type="duplicateValues" dxfId="0" priority="1843"/>
  </conditionalFormatting>
  <conditionalFormatting sqref="FDL102">
    <cfRule type="duplicateValues" dxfId="0" priority="1842"/>
  </conditionalFormatting>
  <conditionalFormatting sqref="FDS102">
    <cfRule type="duplicateValues" dxfId="0" priority="1841"/>
  </conditionalFormatting>
  <conditionalFormatting sqref="FDZ102">
    <cfRule type="duplicateValues" dxfId="0" priority="1840"/>
  </conditionalFormatting>
  <conditionalFormatting sqref="FEG102">
    <cfRule type="duplicateValues" dxfId="0" priority="1839"/>
  </conditionalFormatting>
  <conditionalFormatting sqref="FEN102">
    <cfRule type="duplicateValues" dxfId="0" priority="1838"/>
  </conditionalFormatting>
  <conditionalFormatting sqref="FEU102">
    <cfRule type="duplicateValues" dxfId="0" priority="1837"/>
  </conditionalFormatting>
  <conditionalFormatting sqref="FFB102">
    <cfRule type="duplicateValues" dxfId="0" priority="1836"/>
  </conditionalFormatting>
  <conditionalFormatting sqref="FFI102">
    <cfRule type="duplicateValues" dxfId="0" priority="1835"/>
  </conditionalFormatting>
  <conditionalFormatting sqref="FFP102">
    <cfRule type="duplicateValues" dxfId="0" priority="1834"/>
  </conditionalFormatting>
  <conditionalFormatting sqref="FFW102">
    <cfRule type="duplicateValues" dxfId="0" priority="1833"/>
  </conditionalFormatting>
  <conditionalFormatting sqref="FGD102">
    <cfRule type="duplicateValues" dxfId="0" priority="1832"/>
  </conditionalFormatting>
  <conditionalFormatting sqref="FGK102">
    <cfRule type="duplicateValues" dxfId="0" priority="1831"/>
  </conditionalFormatting>
  <conditionalFormatting sqref="FGR102">
    <cfRule type="duplicateValues" dxfId="0" priority="1830"/>
  </conditionalFormatting>
  <conditionalFormatting sqref="FGY102">
    <cfRule type="duplicateValues" dxfId="0" priority="1829"/>
  </conditionalFormatting>
  <conditionalFormatting sqref="FHF102">
    <cfRule type="duplicateValues" dxfId="0" priority="1828"/>
  </conditionalFormatting>
  <conditionalFormatting sqref="FHM102">
    <cfRule type="duplicateValues" dxfId="0" priority="1827"/>
  </conditionalFormatting>
  <conditionalFormatting sqref="FHT102">
    <cfRule type="duplicateValues" dxfId="0" priority="1826"/>
  </conditionalFormatting>
  <conditionalFormatting sqref="FIA102">
    <cfRule type="duplicateValues" dxfId="0" priority="1825"/>
  </conditionalFormatting>
  <conditionalFormatting sqref="FIH102">
    <cfRule type="duplicateValues" dxfId="0" priority="1824"/>
  </conditionalFormatting>
  <conditionalFormatting sqref="FIO102">
    <cfRule type="duplicateValues" dxfId="0" priority="1823"/>
  </conditionalFormatting>
  <conditionalFormatting sqref="FIV102">
    <cfRule type="duplicateValues" dxfId="0" priority="1822"/>
  </conditionalFormatting>
  <conditionalFormatting sqref="FJC102">
    <cfRule type="duplicateValues" dxfId="0" priority="1821"/>
  </conditionalFormatting>
  <conditionalFormatting sqref="FJJ102">
    <cfRule type="duplicateValues" dxfId="0" priority="1820"/>
  </conditionalFormatting>
  <conditionalFormatting sqref="FJQ102">
    <cfRule type="duplicateValues" dxfId="0" priority="1819"/>
  </conditionalFormatting>
  <conditionalFormatting sqref="FJX102">
    <cfRule type="duplicateValues" dxfId="0" priority="1818"/>
  </conditionalFormatting>
  <conditionalFormatting sqref="FKE102">
    <cfRule type="duplicateValues" dxfId="0" priority="1817"/>
  </conditionalFormatting>
  <conditionalFormatting sqref="FKL102">
    <cfRule type="duplicateValues" dxfId="0" priority="1816"/>
  </conditionalFormatting>
  <conditionalFormatting sqref="FKS102">
    <cfRule type="duplicateValues" dxfId="0" priority="1815"/>
  </conditionalFormatting>
  <conditionalFormatting sqref="FKZ102">
    <cfRule type="duplicateValues" dxfId="0" priority="1814"/>
  </conditionalFormatting>
  <conditionalFormatting sqref="FLG102">
    <cfRule type="duplicateValues" dxfId="0" priority="1813"/>
  </conditionalFormatting>
  <conditionalFormatting sqref="FLN102">
    <cfRule type="duplicateValues" dxfId="0" priority="1812"/>
  </conditionalFormatting>
  <conditionalFormatting sqref="FLU102">
    <cfRule type="duplicateValues" dxfId="0" priority="1811"/>
  </conditionalFormatting>
  <conditionalFormatting sqref="FMB102">
    <cfRule type="duplicateValues" dxfId="0" priority="1810"/>
  </conditionalFormatting>
  <conditionalFormatting sqref="FMI102">
    <cfRule type="duplicateValues" dxfId="0" priority="1809"/>
  </conditionalFormatting>
  <conditionalFormatting sqref="FMP102">
    <cfRule type="duplicateValues" dxfId="0" priority="1808"/>
  </conditionalFormatting>
  <conditionalFormatting sqref="FMW102">
    <cfRule type="duplicateValues" dxfId="0" priority="1807"/>
  </conditionalFormatting>
  <conditionalFormatting sqref="FND102">
    <cfRule type="duplicateValues" dxfId="0" priority="1806"/>
  </conditionalFormatting>
  <conditionalFormatting sqref="FNK102">
    <cfRule type="duplicateValues" dxfId="0" priority="1805"/>
  </conditionalFormatting>
  <conditionalFormatting sqref="FNR102">
    <cfRule type="duplicateValues" dxfId="0" priority="1804"/>
  </conditionalFormatting>
  <conditionalFormatting sqref="FNY102">
    <cfRule type="duplicateValues" dxfId="0" priority="1803"/>
  </conditionalFormatting>
  <conditionalFormatting sqref="FOF102">
    <cfRule type="duplicateValues" dxfId="0" priority="1802"/>
  </conditionalFormatting>
  <conditionalFormatting sqref="FOM102">
    <cfRule type="duplicateValues" dxfId="0" priority="1801"/>
  </conditionalFormatting>
  <conditionalFormatting sqref="FOT102">
    <cfRule type="duplicateValues" dxfId="0" priority="1800"/>
  </conditionalFormatting>
  <conditionalFormatting sqref="FPA102">
    <cfRule type="duplicateValues" dxfId="0" priority="1799"/>
  </conditionalFormatting>
  <conditionalFormatting sqref="FPH102">
    <cfRule type="duplicateValues" dxfId="0" priority="1798"/>
  </conditionalFormatting>
  <conditionalFormatting sqref="FPO102">
    <cfRule type="duplicateValues" dxfId="0" priority="1797"/>
  </conditionalFormatting>
  <conditionalFormatting sqref="FPV102">
    <cfRule type="duplicateValues" dxfId="0" priority="1796"/>
  </conditionalFormatting>
  <conditionalFormatting sqref="FQC102">
    <cfRule type="duplicateValues" dxfId="0" priority="1795"/>
  </conditionalFormatting>
  <conditionalFormatting sqref="FQJ102">
    <cfRule type="duplicateValues" dxfId="0" priority="1794"/>
  </conditionalFormatting>
  <conditionalFormatting sqref="FQQ102">
    <cfRule type="duplicateValues" dxfId="0" priority="1793"/>
  </conditionalFormatting>
  <conditionalFormatting sqref="FQX102">
    <cfRule type="duplicateValues" dxfId="0" priority="1792"/>
  </conditionalFormatting>
  <conditionalFormatting sqref="FRE102">
    <cfRule type="duplicateValues" dxfId="0" priority="1791"/>
  </conditionalFormatting>
  <conditionalFormatting sqref="FRL102">
    <cfRule type="duplicateValues" dxfId="0" priority="1790"/>
  </conditionalFormatting>
  <conditionalFormatting sqref="FRS102">
    <cfRule type="duplicateValues" dxfId="0" priority="1789"/>
  </conditionalFormatting>
  <conditionalFormatting sqref="FRZ102">
    <cfRule type="duplicateValues" dxfId="0" priority="1788"/>
  </conditionalFormatting>
  <conditionalFormatting sqref="FSG102">
    <cfRule type="duplicateValues" dxfId="0" priority="1787"/>
  </conditionalFormatting>
  <conditionalFormatting sqref="FSN102">
    <cfRule type="duplicateValues" dxfId="0" priority="1786"/>
  </conditionalFormatting>
  <conditionalFormatting sqref="FSU102">
    <cfRule type="duplicateValues" dxfId="0" priority="1785"/>
  </conditionalFormatting>
  <conditionalFormatting sqref="FTB102">
    <cfRule type="duplicateValues" dxfId="0" priority="1784"/>
  </conditionalFormatting>
  <conditionalFormatting sqref="FTI102">
    <cfRule type="duplicateValues" dxfId="0" priority="1783"/>
  </conditionalFormatting>
  <conditionalFormatting sqref="FTP102">
    <cfRule type="duplicateValues" dxfId="0" priority="1782"/>
  </conditionalFormatting>
  <conditionalFormatting sqref="FTW102">
    <cfRule type="duplicateValues" dxfId="0" priority="1781"/>
  </conditionalFormatting>
  <conditionalFormatting sqref="FUD102">
    <cfRule type="duplicateValues" dxfId="0" priority="1780"/>
  </conditionalFormatting>
  <conditionalFormatting sqref="FUK102">
    <cfRule type="duplicateValues" dxfId="0" priority="1779"/>
  </conditionalFormatting>
  <conditionalFormatting sqref="FUR102">
    <cfRule type="duplicateValues" dxfId="0" priority="1778"/>
  </conditionalFormatting>
  <conditionalFormatting sqref="FUY102">
    <cfRule type="duplicateValues" dxfId="0" priority="1777"/>
  </conditionalFormatting>
  <conditionalFormatting sqref="FVF102">
    <cfRule type="duplicateValues" dxfId="0" priority="1776"/>
  </conditionalFormatting>
  <conditionalFormatting sqref="FVM102">
    <cfRule type="duplicateValues" dxfId="0" priority="1775"/>
  </conditionalFormatting>
  <conditionalFormatting sqref="FVT102">
    <cfRule type="duplicateValues" dxfId="0" priority="1774"/>
  </conditionalFormatting>
  <conditionalFormatting sqref="FWA102">
    <cfRule type="duplicateValues" dxfId="0" priority="1773"/>
  </conditionalFormatting>
  <conditionalFormatting sqref="FWH102">
    <cfRule type="duplicateValues" dxfId="0" priority="1772"/>
  </conditionalFormatting>
  <conditionalFormatting sqref="FWO102">
    <cfRule type="duplicateValues" dxfId="0" priority="1771"/>
  </conditionalFormatting>
  <conditionalFormatting sqref="FWV102">
    <cfRule type="duplicateValues" dxfId="0" priority="1770"/>
  </conditionalFormatting>
  <conditionalFormatting sqref="FXC102">
    <cfRule type="duplicateValues" dxfId="0" priority="1769"/>
  </conditionalFormatting>
  <conditionalFormatting sqref="FXJ102">
    <cfRule type="duplicateValues" dxfId="0" priority="1768"/>
  </conditionalFormatting>
  <conditionalFormatting sqref="FXQ102">
    <cfRule type="duplicateValues" dxfId="0" priority="1767"/>
  </conditionalFormatting>
  <conditionalFormatting sqref="FXX102">
    <cfRule type="duplicateValues" dxfId="0" priority="1766"/>
  </conditionalFormatting>
  <conditionalFormatting sqref="FYE102">
    <cfRule type="duplicateValues" dxfId="0" priority="1765"/>
  </conditionalFormatting>
  <conditionalFormatting sqref="FYL102">
    <cfRule type="duplicateValues" dxfId="0" priority="1764"/>
  </conditionalFormatting>
  <conditionalFormatting sqref="FYS102">
    <cfRule type="duplicateValues" dxfId="0" priority="1763"/>
  </conditionalFormatting>
  <conditionalFormatting sqref="FYZ102">
    <cfRule type="duplicateValues" dxfId="0" priority="1762"/>
  </conditionalFormatting>
  <conditionalFormatting sqref="FZG102">
    <cfRule type="duplicateValues" dxfId="0" priority="1761"/>
  </conditionalFormatting>
  <conditionalFormatting sqref="FZN102">
    <cfRule type="duplicateValues" dxfId="0" priority="1760"/>
  </conditionalFormatting>
  <conditionalFormatting sqref="FZU102">
    <cfRule type="duplicateValues" dxfId="0" priority="1759"/>
  </conditionalFormatting>
  <conditionalFormatting sqref="GAB102">
    <cfRule type="duplicateValues" dxfId="0" priority="1758"/>
  </conditionalFormatting>
  <conditionalFormatting sqref="GAI102">
    <cfRule type="duplicateValues" dxfId="0" priority="1757"/>
  </conditionalFormatting>
  <conditionalFormatting sqref="GAP102">
    <cfRule type="duplicateValues" dxfId="0" priority="1756"/>
  </conditionalFormatting>
  <conditionalFormatting sqref="GAW102">
    <cfRule type="duplicateValues" dxfId="0" priority="1755"/>
  </conditionalFormatting>
  <conditionalFormatting sqref="GBD102">
    <cfRule type="duplicateValues" dxfId="0" priority="1754"/>
  </conditionalFormatting>
  <conditionalFormatting sqref="GBK102">
    <cfRule type="duplicateValues" dxfId="0" priority="1753"/>
  </conditionalFormatting>
  <conditionalFormatting sqref="GBR102">
    <cfRule type="duplicateValues" dxfId="0" priority="1752"/>
  </conditionalFormatting>
  <conditionalFormatting sqref="GBY102">
    <cfRule type="duplicateValues" dxfId="0" priority="1751"/>
  </conditionalFormatting>
  <conditionalFormatting sqref="GCF102">
    <cfRule type="duplicateValues" dxfId="0" priority="1750"/>
  </conditionalFormatting>
  <conditionalFormatting sqref="GCM102">
    <cfRule type="duplicateValues" dxfId="0" priority="1749"/>
  </conditionalFormatting>
  <conditionalFormatting sqref="GCT102">
    <cfRule type="duplicateValues" dxfId="0" priority="1748"/>
  </conditionalFormatting>
  <conditionalFormatting sqref="GDA102">
    <cfRule type="duplicateValues" dxfId="0" priority="1747"/>
  </conditionalFormatting>
  <conditionalFormatting sqref="GDH102">
    <cfRule type="duplicateValues" dxfId="0" priority="1746"/>
  </conditionalFormatting>
  <conditionalFormatting sqref="GDO102">
    <cfRule type="duplicateValues" dxfId="0" priority="1745"/>
  </conditionalFormatting>
  <conditionalFormatting sqref="GDV102">
    <cfRule type="duplicateValues" dxfId="0" priority="1744"/>
  </conditionalFormatting>
  <conditionalFormatting sqref="GEC102">
    <cfRule type="duplicateValues" dxfId="0" priority="1743"/>
  </conditionalFormatting>
  <conditionalFormatting sqref="GEJ102">
    <cfRule type="duplicateValues" dxfId="0" priority="1742"/>
  </conditionalFormatting>
  <conditionalFormatting sqref="GEQ102">
    <cfRule type="duplicateValues" dxfId="0" priority="1741"/>
  </conditionalFormatting>
  <conditionalFormatting sqref="GEX102">
    <cfRule type="duplicateValues" dxfId="0" priority="1740"/>
  </conditionalFormatting>
  <conditionalFormatting sqref="GFE102">
    <cfRule type="duplicateValues" dxfId="0" priority="1739"/>
  </conditionalFormatting>
  <conditionalFormatting sqref="GFL102">
    <cfRule type="duplicateValues" dxfId="0" priority="1738"/>
  </conditionalFormatting>
  <conditionalFormatting sqref="GFS102">
    <cfRule type="duplicateValues" dxfId="0" priority="1737"/>
  </conditionalFormatting>
  <conditionalFormatting sqref="GFZ102">
    <cfRule type="duplicateValues" dxfId="0" priority="1736"/>
  </conditionalFormatting>
  <conditionalFormatting sqref="GGG102">
    <cfRule type="duplicateValues" dxfId="0" priority="1735"/>
  </conditionalFormatting>
  <conditionalFormatting sqref="GGN102">
    <cfRule type="duplicateValues" dxfId="0" priority="1734"/>
  </conditionalFormatting>
  <conditionalFormatting sqref="GGU102">
    <cfRule type="duplicateValues" dxfId="0" priority="1733"/>
  </conditionalFormatting>
  <conditionalFormatting sqref="GHB102">
    <cfRule type="duplicateValues" dxfId="0" priority="1732"/>
  </conditionalFormatting>
  <conditionalFormatting sqref="GHI102">
    <cfRule type="duplicateValues" dxfId="0" priority="1731"/>
  </conditionalFormatting>
  <conditionalFormatting sqref="GHP102">
    <cfRule type="duplicateValues" dxfId="0" priority="1730"/>
  </conditionalFormatting>
  <conditionalFormatting sqref="GHW102">
    <cfRule type="duplicateValues" dxfId="0" priority="1729"/>
  </conditionalFormatting>
  <conditionalFormatting sqref="GID102">
    <cfRule type="duplicateValues" dxfId="0" priority="1728"/>
  </conditionalFormatting>
  <conditionalFormatting sqref="GIK102">
    <cfRule type="duplicateValues" dxfId="0" priority="1727"/>
  </conditionalFormatting>
  <conditionalFormatting sqref="GIR102">
    <cfRule type="duplicateValues" dxfId="0" priority="1726"/>
  </conditionalFormatting>
  <conditionalFormatting sqref="GIY102">
    <cfRule type="duplicateValues" dxfId="0" priority="1725"/>
  </conditionalFormatting>
  <conditionalFormatting sqref="GJF102">
    <cfRule type="duplicateValues" dxfId="0" priority="1724"/>
  </conditionalFormatting>
  <conditionalFormatting sqref="GJM102">
    <cfRule type="duplicateValues" dxfId="0" priority="1723"/>
  </conditionalFormatting>
  <conditionalFormatting sqref="GJT102">
    <cfRule type="duplicateValues" dxfId="0" priority="1722"/>
  </conditionalFormatting>
  <conditionalFormatting sqref="GKA102">
    <cfRule type="duplicateValues" dxfId="0" priority="1721"/>
  </conditionalFormatting>
  <conditionalFormatting sqref="GKH102">
    <cfRule type="duplicateValues" dxfId="0" priority="1720"/>
  </conditionalFormatting>
  <conditionalFormatting sqref="GKO102">
    <cfRule type="duplicateValues" dxfId="0" priority="1719"/>
  </conditionalFormatting>
  <conditionalFormatting sqref="GKV102">
    <cfRule type="duplicateValues" dxfId="0" priority="1718"/>
  </conditionalFormatting>
  <conditionalFormatting sqref="GLC102">
    <cfRule type="duplicateValues" dxfId="0" priority="1717"/>
  </conditionalFormatting>
  <conditionalFormatting sqref="GLJ102">
    <cfRule type="duplicateValues" dxfId="0" priority="1716"/>
  </conditionalFormatting>
  <conditionalFormatting sqref="GLQ102">
    <cfRule type="duplicateValues" dxfId="0" priority="1715"/>
  </conditionalFormatting>
  <conditionalFormatting sqref="GLX102">
    <cfRule type="duplicateValues" dxfId="0" priority="1714"/>
  </conditionalFormatting>
  <conditionalFormatting sqref="GME102">
    <cfRule type="duplicateValues" dxfId="0" priority="1713"/>
  </conditionalFormatting>
  <conditionalFormatting sqref="GML102">
    <cfRule type="duplicateValues" dxfId="0" priority="1712"/>
  </conditionalFormatting>
  <conditionalFormatting sqref="GMS102">
    <cfRule type="duplicateValues" dxfId="0" priority="1711"/>
  </conditionalFormatting>
  <conditionalFormatting sqref="GMZ102">
    <cfRule type="duplicateValues" dxfId="0" priority="1710"/>
  </conditionalFormatting>
  <conditionalFormatting sqref="GNG102">
    <cfRule type="duplicateValues" dxfId="0" priority="1709"/>
  </conditionalFormatting>
  <conditionalFormatting sqref="GNN102">
    <cfRule type="duplicateValues" dxfId="0" priority="1708"/>
  </conditionalFormatting>
  <conditionalFormatting sqref="GNU102">
    <cfRule type="duplicateValues" dxfId="0" priority="1707"/>
  </conditionalFormatting>
  <conditionalFormatting sqref="GOB102">
    <cfRule type="duplicateValues" dxfId="0" priority="1706"/>
  </conditionalFormatting>
  <conditionalFormatting sqref="GOI102">
    <cfRule type="duplicateValues" dxfId="0" priority="1705"/>
  </conditionalFormatting>
  <conditionalFormatting sqref="GOP102">
    <cfRule type="duplicateValues" dxfId="0" priority="1704"/>
  </conditionalFormatting>
  <conditionalFormatting sqref="GOW102">
    <cfRule type="duplicateValues" dxfId="0" priority="1703"/>
  </conditionalFormatting>
  <conditionalFormatting sqref="GPD102">
    <cfRule type="duplicateValues" dxfId="0" priority="1702"/>
  </conditionalFormatting>
  <conditionalFormatting sqref="GPK102">
    <cfRule type="duplicateValues" dxfId="0" priority="1701"/>
  </conditionalFormatting>
  <conditionalFormatting sqref="GPR102">
    <cfRule type="duplicateValues" dxfId="0" priority="1700"/>
  </conditionalFormatting>
  <conditionalFormatting sqref="GPY102">
    <cfRule type="duplicateValues" dxfId="0" priority="1699"/>
  </conditionalFormatting>
  <conditionalFormatting sqref="GQF102">
    <cfRule type="duplicateValues" dxfId="0" priority="1698"/>
  </conditionalFormatting>
  <conditionalFormatting sqref="GQM102">
    <cfRule type="duplicateValues" dxfId="0" priority="1697"/>
  </conditionalFormatting>
  <conditionalFormatting sqref="GQT102">
    <cfRule type="duplicateValues" dxfId="0" priority="1696"/>
  </conditionalFormatting>
  <conditionalFormatting sqref="GRA102">
    <cfRule type="duplicateValues" dxfId="0" priority="1695"/>
  </conditionalFormatting>
  <conditionalFormatting sqref="GRH102">
    <cfRule type="duplicateValues" dxfId="0" priority="1694"/>
  </conditionalFormatting>
  <conditionalFormatting sqref="GRO102">
    <cfRule type="duplicateValues" dxfId="0" priority="1693"/>
  </conditionalFormatting>
  <conditionalFormatting sqref="GRV102">
    <cfRule type="duplicateValues" dxfId="0" priority="1692"/>
  </conditionalFormatting>
  <conditionalFormatting sqref="GSC102">
    <cfRule type="duplicateValues" dxfId="0" priority="1691"/>
  </conditionalFormatting>
  <conditionalFormatting sqref="GSJ102">
    <cfRule type="duplicateValues" dxfId="0" priority="1690"/>
  </conditionalFormatting>
  <conditionalFormatting sqref="GSQ102">
    <cfRule type="duplicateValues" dxfId="0" priority="1689"/>
  </conditionalFormatting>
  <conditionalFormatting sqref="GSX102">
    <cfRule type="duplicateValues" dxfId="0" priority="1688"/>
  </conditionalFormatting>
  <conditionalFormatting sqref="GTE102">
    <cfRule type="duplicateValues" dxfId="0" priority="1687"/>
  </conditionalFormatting>
  <conditionalFormatting sqref="GTL102">
    <cfRule type="duplicateValues" dxfId="0" priority="1686"/>
  </conditionalFormatting>
  <conditionalFormatting sqref="GTS102">
    <cfRule type="duplicateValues" dxfId="0" priority="1685"/>
  </conditionalFormatting>
  <conditionalFormatting sqref="GTZ102">
    <cfRule type="duplicateValues" dxfId="0" priority="1684"/>
  </conditionalFormatting>
  <conditionalFormatting sqref="GUG102">
    <cfRule type="duplicateValues" dxfId="0" priority="1683"/>
  </conditionalFormatting>
  <conditionalFormatting sqref="GUN102">
    <cfRule type="duplicateValues" dxfId="0" priority="1682"/>
  </conditionalFormatting>
  <conditionalFormatting sqref="GUU102">
    <cfRule type="duplicateValues" dxfId="0" priority="1681"/>
  </conditionalFormatting>
  <conditionalFormatting sqref="GVB102">
    <cfRule type="duplicateValues" dxfId="0" priority="1680"/>
  </conditionalFormatting>
  <conditionalFormatting sqref="GVI102">
    <cfRule type="duplicateValues" dxfId="0" priority="1679"/>
  </conditionalFormatting>
  <conditionalFormatting sqref="GVP102">
    <cfRule type="duplicateValues" dxfId="0" priority="1678"/>
  </conditionalFormatting>
  <conditionalFormatting sqref="GVW102">
    <cfRule type="duplicateValues" dxfId="0" priority="1677"/>
  </conditionalFormatting>
  <conditionalFormatting sqref="GWD102">
    <cfRule type="duplicateValues" dxfId="0" priority="1676"/>
  </conditionalFormatting>
  <conditionalFormatting sqref="GWK102">
    <cfRule type="duplicateValues" dxfId="0" priority="1675"/>
  </conditionalFormatting>
  <conditionalFormatting sqref="GWR102">
    <cfRule type="duplicateValues" dxfId="0" priority="1674"/>
  </conditionalFormatting>
  <conditionalFormatting sqref="GWY102">
    <cfRule type="duplicateValues" dxfId="0" priority="1673"/>
  </conditionalFormatting>
  <conditionalFormatting sqref="GXF102">
    <cfRule type="duplicateValues" dxfId="0" priority="1672"/>
  </conditionalFormatting>
  <conditionalFormatting sqref="GXM102">
    <cfRule type="duplicateValues" dxfId="0" priority="1671"/>
  </conditionalFormatting>
  <conditionalFormatting sqref="GXT102">
    <cfRule type="duplicateValues" dxfId="0" priority="1670"/>
  </conditionalFormatting>
  <conditionalFormatting sqref="GYA102">
    <cfRule type="duplicateValues" dxfId="0" priority="1669"/>
  </conditionalFormatting>
  <conditionalFormatting sqref="GYH102">
    <cfRule type="duplicateValues" dxfId="0" priority="1668"/>
  </conditionalFormatting>
  <conditionalFormatting sqref="GYO102">
    <cfRule type="duplicateValues" dxfId="0" priority="1667"/>
  </conditionalFormatting>
  <conditionalFormatting sqref="GYV102">
    <cfRule type="duplicateValues" dxfId="0" priority="1666"/>
  </conditionalFormatting>
  <conditionalFormatting sqref="GZC102">
    <cfRule type="duplicateValues" dxfId="0" priority="1665"/>
  </conditionalFormatting>
  <conditionalFormatting sqref="GZJ102">
    <cfRule type="duplicateValues" dxfId="0" priority="1664"/>
  </conditionalFormatting>
  <conditionalFormatting sqref="GZQ102">
    <cfRule type="duplicateValues" dxfId="0" priority="1663"/>
  </conditionalFormatting>
  <conditionalFormatting sqref="GZX102">
    <cfRule type="duplicateValues" dxfId="0" priority="1662"/>
  </conditionalFormatting>
  <conditionalFormatting sqref="HAE102">
    <cfRule type="duplicateValues" dxfId="0" priority="1661"/>
  </conditionalFormatting>
  <conditionalFormatting sqref="HAL102">
    <cfRule type="duplicateValues" dxfId="0" priority="1660"/>
  </conditionalFormatting>
  <conditionalFormatting sqref="HAS102">
    <cfRule type="duplicateValues" dxfId="0" priority="1659"/>
  </conditionalFormatting>
  <conditionalFormatting sqref="HAZ102">
    <cfRule type="duplicateValues" dxfId="0" priority="1658"/>
  </conditionalFormatting>
  <conditionalFormatting sqref="HBG102">
    <cfRule type="duplicateValues" dxfId="0" priority="1657"/>
  </conditionalFormatting>
  <conditionalFormatting sqref="HBN102">
    <cfRule type="duplicateValues" dxfId="0" priority="1656"/>
  </conditionalFormatting>
  <conditionalFormatting sqref="HBU102">
    <cfRule type="duplicateValues" dxfId="0" priority="1655"/>
  </conditionalFormatting>
  <conditionalFormatting sqref="HCB102">
    <cfRule type="duplicateValues" dxfId="0" priority="1654"/>
  </conditionalFormatting>
  <conditionalFormatting sqref="HCI102">
    <cfRule type="duplicateValues" dxfId="0" priority="1653"/>
  </conditionalFormatting>
  <conditionalFormatting sqref="HCP102">
    <cfRule type="duplicateValues" dxfId="0" priority="1652"/>
  </conditionalFormatting>
  <conditionalFormatting sqref="HCW102">
    <cfRule type="duplicateValues" dxfId="0" priority="1651"/>
  </conditionalFormatting>
  <conditionalFormatting sqref="HDD102">
    <cfRule type="duplicateValues" dxfId="0" priority="1650"/>
  </conditionalFormatting>
  <conditionalFormatting sqref="HDK102">
    <cfRule type="duplicateValues" dxfId="0" priority="1649"/>
  </conditionalFormatting>
  <conditionalFormatting sqref="HDR102">
    <cfRule type="duplicateValues" dxfId="0" priority="1648"/>
  </conditionalFormatting>
  <conditionalFormatting sqref="HDY102">
    <cfRule type="duplicateValues" dxfId="0" priority="1647"/>
  </conditionalFormatting>
  <conditionalFormatting sqref="HEF102">
    <cfRule type="duplicateValues" dxfId="0" priority="1646"/>
  </conditionalFormatting>
  <conditionalFormatting sqref="HEM102">
    <cfRule type="duplicateValues" dxfId="0" priority="1645"/>
  </conditionalFormatting>
  <conditionalFormatting sqref="HET102">
    <cfRule type="duplicateValues" dxfId="0" priority="1644"/>
  </conditionalFormatting>
  <conditionalFormatting sqref="HFA102">
    <cfRule type="duplicateValues" dxfId="0" priority="1643"/>
  </conditionalFormatting>
  <conditionalFormatting sqref="HFH102">
    <cfRule type="duplicateValues" dxfId="0" priority="1642"/>
  </conditionalFormatting>
  <conditionalFormatting sqref="HFO102">
    <cfRule type="duplicateValues" dxfId="0" priority="1641"/>
  </conditionalFormatting>
  <conditionalFormatting sqref="HFV102">
    <cfRule type="duplicateValues" dxfId="0" priority="1640"/>
  </conditionalFormatting>
  <conditionalFormatting sqref="HGC102">
    <cfRule type="duplicateValues" dxfId="0" priority="1639"/>
  </conditionalFormatting>
  <conditionalFormatting sqref="HGJ102">
    <cfRule type="duplicateValues" dxfId="0" priority="1638"/>
  </conditionalFormatting>
  <conditionalFormatting sqref="HGQ102">
    <cfRule type="duplicateValues" dxfId="0" priority="1637"/>
  </conditionalFormatting>
  <conditionalFormatting sqref="HGX102">
    <cfRule type="duplicateValues" dxfId="0" priority="1636"/>
  </conditionalFormatting>
  <conditionalFormatting sqref="HHE102">
    <cfRule type="duplicateValues" dxfId="0" priority="1635"/>
  </conditionalFormatting>
  <conditionalFormatting sqref="HHL102">
    <cfRule type="duplicateValues" dxfId="0" priority="1634"/>
  </conditionalFormatting>
  <conditionalFormatting sqref="HHS102">
    <cfRule type="duplicateValues" dxfId="0" priority="1633"/>
  </conditionalFormatting>
  <conditionalFormatting sqref="HHZ102">
    <cfRule type="duplicateValues" dxfId="0" priority="1632"/>
  </conditionalFormatting>
  <conditionalFormatting sqref="HIG102">
    <cfRule type="duplicateValues" dxfId="0" priority="1631"/>
  </conditionalFormatting>
  <conditionalFormatting sqref="HIN102">
    <cfRule type="duplicateValues" dxfId="0" priority="1630"/>
  </conditionalFormatting>
  <conditionalFormatting sqref="HIU102">
    <cfRule type="duplicateValues" dxfId="0" priority="1629"/>
  </conditionalFormatting>
  <conditionalFormatting sqref="HJB102">
    <cfRule type="duplicateValues" dxfId="0" priority="1628"/>
  </conditionalFormatting>
  <conditionalFormatting sqref="HJI102">
    <cfRule type="duplicateValues" dxfId="0" priority="1627"/>
  </conditionalFormatting>
  <conditionalFormatting sqref="HJP102">
    <cfRule type="duplicateValues" dxfId="0" priority="1626"/>
  </conditionalFormatting>
  <conditionalFormatting sqref="HJW102">
    <cfRule type="duplicateValues" dxfId="0" priority="1625"/>
  </conditionalFormatting>
  <conditionalFormatting sqref="HKD102">
    <cfRule type="duplicateValues" dxfId="0" priority="1624"/>
  </conditionalFormatting>
  <conditionalFormatting sqref="HKK102">
    <cfRule type="duplicateValues" dxfId="0" priority="1623"/>
  </conditionalFormatting>
  <conditionalFormatting sqref="HKR102">
    <cfRule type="duplicateValues" dxfId="0" priority="1622"/>
  </conditionalFormatting>
  <conditionalFormatting sqref="HKY102">
    <cfRule type="duplicateValues" dxfId="0" priority="1621"/>
  </conditionalFormatting>
  <conditionalFormatting sqref="HLF102">
    <cfRule type="duplicateValues" dxfId="0" priority="1620"/>
  </conditionalFormatting>
  <conditionalFormatting sqref="HLM102">
    <cfRule type="duplicateValues" dxfId="0" priority="1619"/>
  </conditionalFormatting>
  <conditionalFormatting sqref="HLT102">
    <cfRule type="duplicateValues" dxfId="0" priority="1618"/>
  </conditionalFormatting>
  <conditionalFormatting sqref="HMA102">
    <cfRule type="duplicateValues" dxfId="0" priority="1617"/>
  </conditionalFormatting>
  <conditionalFormatting sqref="HMH102">
    <cfRule type="duplicateValues" dxfId="0" priority="1616"/>
  </conditionalFormatting>
  <conditionalFormatting sqref="HMO102">
    <cfRule type="duplicateValues" dxfId="0" priority="1615"/>
  </conditionalFormatting>
  <conditionalFormatting sqref="HMV102">
    <cfRule type="duplicateValues" dxfId="0" priority="1614"/>
  </conditionalFormatting>
  <conditionalFormatting sqref="HNC102">
    <cfRule type="duplicateValues" dxfId="0" priority="1613"/>
  </conditionalFormatting>
  <conditionalFormatting sqref="HNJ102">
    <cfRule type="duplicateValues" dxfId="0" priority="1612"/>
  </conditionalFormatting>
  <conditionalFormatting sqref="HNQ102">
    <cfRule type="duplicateValues" dxfId="0" priority="1611"/>
  </conditionalFormatting>
  <conditionalFormatting sqref="HNX102">
    <cfRule type="duplicateValues" dxfId="0" priority="1610"/>
  </conditionalFormatting>
  <conditionalFormatting sqref="HOE102">
    <cfRule type="duplicateValues" dxfId="0" priority="1609"/>
  </conditionalFormatting>
  <conditionalFormatting sqref="HOL102">
    <cfRule type="duplicateValues" dxfId="0" priority="1608"/>
  </conditionalFormatting>
  <conditionalFormatting sqref="HOS102">
    <cfRule type="duplicateValues" dxfId="0" priority="1607"/>
  </conditionalFormatting>
  <conditionalFormatting sqref="HOZ102">
    <cfRule type="duplicateValues" dxfId="0" priority="1606"/>
  </conditionalFormatting>
  <conditionalFormatting sqref="HPG102">
    <cfRule type="duplicateValues" dxfId="0" priority="1605"/>
  </conditionalFormatting>
  <conditionalFormatting sqref="HPN102">
    <cfRule type="duplicateValues" dxfId="0" priority="1604"/>
  </conditionalFormatting>
  <conditionalFormatting sqref="HPU102">
    <cfRule type="duplicateValues" dxfId="0" priority="1603"/>
  </conditionalFormatting>
  <conditionalFormatting sqref="HQB102">
    <cfRule type="duplicateValues" dxfId="0" priority="1602"/>
  </conditionalFormatting>
  <conditionalFormatting sqref="HQI102">
    <cfRule type="duplicateValues" dxfId="0" priority="1601"/>
  </conditionalFormatting>
  <conditionalFormatting sqref="HQP102">
    <cfRule type="duplicateValues" dxfId="0" priority="1600"/>
  </conditionalFormatting>
  <conditionalFormatting sqref="HQW102">
    <cfRule type="duplicateValues" dxfId="0" priority="1599"/>
  </conditionalFormatting>
  <conditionalFormatting sqref="HRD102">
    <cfRule type="duplicateValues" dxfId="0" priority="1598"/>
  </conditionalFormatting>
  <conditionalFormatting sqref="HRK102">
    <cfRule type="duplicateValues" dxfId="0" priority="1597"/>
  </conditionalFormatting>
  <conditionalFormatting sqref="HRR102">
    <cfRule type="duplicateValues" dxfId="0" priority="1596"/>
  </conditionalFormatting>
  <conditionalFormatting sqref="HRY102">
    <cfRule type="duplicateValues" dxfId="0" priority="1595"/>
  </conditionalFormatting>
  <conditionalFormatting sqref="HSF102">
    <cfRule type="duplicateValues" dxfId="0" priority="1594"/>
  </conditionalFormatting>
  <conditionalFormatting sqref="HSM102">
    <cfRule type="duplicateValues" dxfId="0" priority="1593"/>
  </conditionalFormatting>
  <conditionalFormatting sqref="HST102">
    <cfRule type="duplicateValues" dxfId="0" priority="1592"/>
  </conditionalFormatting>
  <conditionalFormatting sqref="HTA102">
    <cfRule type="duplicateValues" dxfId="0" priority="1591"/>
  </conditionalFormatting>
  <conditionalFormatting sqref="HTH102">
    <cfRule type="duplicateValues" dxfId="0" priority="1590"/>
  </conditionalFormatting>
  <conditionalFormatting sqref="HTO102">
    <cfRule type="duplicateValues" dxfId="0" priority="1589"/>
  </conditionalFormatting>
  <conditionalFormatting sqref="HTV102">
    <cfRule type="duplicateValues" dxfId="0" priority="1588"/>
  </conditionalFormatting>
  <conditionalFormatting sqref="HUC102">
    <cfRule type="duplicateValues" dxfId="0" priority="1587"/>
  </conditionalFormatting>
  <conditionalFormatting sqref="HUJ102">
    <cfRule type="duplicateValues" dxfId="0" priority="1586"/>
  </conditionalFormatting>
  <conditionalFormatting sqref="HUQ102">
    <cfRule type="duplicateValues" dxfId="0" priority="1585"/>
  </conditionalFormatting>
  <conditionalFormatting sqref="HUX102">
    <cfRule type="duplicateValues" dxfId="0" priority="1584"/>
  </conditionalFormatting>
  <conditionalFormatting sqref="HVE102">
    <cfRule type="duplicateValues" dxfId="0" priority="1583"/>
  </conditionalFormatting>
  <conditionalFormatting sqref="HVL102">
    <cfRule type="duplicateValues" dxfId="0" priority="1582"/>
  </conditionalFormatting>
  <conditionalFormatting sqref="HVS102">
    <cfRule type="duplicateValues" dxfId="0" priority="1581"/>
  </conditionalFormatting>
  <conditionalFormatting sqref="HVZ102">
    <cfRule type="duplicateValues" dxfId="0" priority="1580"/>
  </conditionalFormatting>
  <conditionalFormatting sqref="HWG102">
    <cfRule type="duplicateValues" dxfId="0" priority="1579"/>
  </conditionalFormatting>
  <conditionalFormatting sqref="HWN102">
    <cfRule type="duplicateValues" dxfId="0" priority="1578"/>
  </conditionalFormatting>
  <conditionalFormatting sqref="HWU102">
    <cfRule type="duplicateValues" dxfId="0" priority="1577"/>
  </conditionalFormatting>
  <conditionalFormatting sqref="HXB102">
    <cfRule type="duplicateValues" dxfId="0" priority="1576"/>
  </conditionalFormatting>
  <conditionalFormatting sqref="HXI102">
    <cfRule type="duplicateValues" dxfId="0" priority="1575"/>
  </conditionalFormatting>
  <conditionalFormatting sqref="HXP102">
    <cfRule type="duplicateValues" dxfId="0" priority="1574"/>
  </conditionalFormatting>
  <conditionalFormatting sqref="HXW102">
    <cfRule type="duplicateValues" dxfId="0" priority="1573"/>
  </conditionalFormatting>
  <conditionalFormatting sqref="HYD102">
    <cfRule type="duplicateValues" dxfId="0" priority="1572"/>
  </conditionalFormatting>
  <conditionalFormatting sqref="HYK102">
    <cfRule type="duplicateValues" dxfId="0" priority="1571"/>
  </conditionalFormatting>
  <conditionalFormatting sqref="HYR102">
    <cfRule type="duplicateValues" dxfId="0" priority="1570"/>
  </conditionalFormatting>
  <conditionalFormatting sqref="HYY102">
    <cfRule type="duplicateValues" dxfId="0" priority="1569"/>
  </conditionalFormatting>
  <conditionalFormatting sqref="HZF102">
    <cfRule type="duplicateValues" dxfId="0" priority="1568"/>
  </conditionalFormatting>
  <conditionalFormatting sqref="HZM102">
    <cfRule type="duplicateValues" dxfId="0" priority="1567"/>
  </conditionalFormatting>
  <conditionalFormatting sqref="HZT102">
    <cfRule type="duplicateValues" dxfId="0" priority="1566"/>
  </conditionalFormatting>
  <conditionalFormatting sqref="IAA102">
    <cfRule type="duplicateValues" dxfId="0" priority="1565"/>
  </conditionalFormatting>
  <conditionalFormatting sqref="IAH102">
    <cfRule type="duplicateValues" dxfId="0" priority="1564"/>
  </conditionalFormatting>
  <conditionalFormatting sqref="IAO102">
    <cfRule type="duplicateValues" dxfId="0" priority="1563"/>
  </conditionalFormatting>
  <conditionalFormatting sqref="IAV102">
    <cfRule type="duplicateValues" dxfId="0" priority="1562"/>
  </conditionalFormatting>
  <conditionalFormatting sqref="IBC102">
    <cfRule type="duplicateValues" dxfId="0" priority="1561"/>
  </conditionalFormatting>
  <conditionalFormatting sqref="IBJ102">
    <cfRule type="duplicateValues" dxfId="0" priority="1560"/>
  </conditionalFormatting>
  <conditionalFormatting sqref="IBQ102">
    <cfRule type="duplicateValues" dxfId="0" priority="1559"/>
  </conditionalFormatting>
  <conditionalFormatting sqref="IBX102">
    <cfRule type="duplicateValues" dxfId="0" priority="1558"/>
  </conditionalFormatting>
  <conditionalFormatting sqref="ICE102">
    <cfRule type="duplicateValues" dxfId="0" priority="1557"/>
  </conditionalFormatting>
  <conditionalFormatting sqref="ICL102">
    <cfRule type="duplicateValues" dxfId="0" priority="1556"/>
  </conditionalFormatting>
  <conditionalFormatting sqref="ICS102">
    <cfRule type="duplicateValues" dxfId="0" priority="1555"/>
  </conditionalFormatting>
  <conditionalFormatting sqref="ICZ102">
    <cfRule type="duplicateValues" dxfId="0" priority="1554"/>
  </conditionalFormatting>
  <conditionalFormatting sqref="IDG102">
    <cfRule type="duplicateValues" dxfId="0" priority="1553"/>
  </conditionalFormatting>
  <conditionalFormatting sqref="IDN102">
    <cfRule type="duplicateValues" dxfId="0" priority="1552"/>
  </conditionalFormatting>
  <conditionalFormatting sqref="IDU102">
    <cfRule type="duplicateValues" dxfId="0" priority="1551"/>
  </conditionalFormatting>
  <conditionalFormatting sqref="IEB102">
    <cfRule type="duplicateValues" dxfId="0" priority="1550"/>
  </conditionalFormatting>
  <conditionalFormatting sqref="IEI102">
    <cfRule type="duplicateValues" dxfId="0" priority="1549"/>
  </conditionalFormatting>
  <conditionalFormatting sqref="IEP102">
    <cfRule type="duplicateValues" dxfId="0" priority="1548"/>
  </conditionalFormatting>
  <conditionalFormatting sqref="IEW102">
    <cfRule type="duplicateValues" dxfId="0" priority="1547"/>
  </conditionalFormatting>
  <conditionalFormatting sqref="IFD102">
    <cfRule type="duplicateValues" dxfId="0" priority="1546"/>
  </conditionalFormatting>
  <conditionalFormatting sqref="IFK102">
    <cfRule type="duplicateValues" dxfId="0" priority="1545"/>
  </conditionalFormatting>
  <conditionalFormatting sqref="IFR102">
    <cfRule type="duplicateValues" dxfId="0" priority="1544"/>
  </conditionalFormatting>
  <conditionalFormatting sqref="IFY102">
    <cfRule type="duplicateValues" dxfId="0" priority="1543"/>
  </conditionalFormatting>
  <conditionalFormatting sqref="IGF102">
    <cfRule type="duplicateValues" dxfId="0" priority="1542"/>
  </conditionalFormatting>
  <conditionalFormatting sqref="IGM102">
    <cfRule type="duplicateValues" dxfId="0" priority="1541"/>
  </conditionalFormatting>
  <conditionalFormatting sqref="IGT102">
    <cfRule type="duplicateValues" dxfId="0" priority="1540"/>
  </conditionalFormatting>
  <conditionalFormatting sqref="IHA102">
    <cfRule type="duplicateValues" dxfId="0" priority="1539"/>
  </conditionalFormatting>
  <conditionalFormatting sqref="IHH102">
    <cfRule type="duplicateValues" dxfId="0" priority="1538"/>
  </conditionalFormatting>
  <conditionalFormatting sqref="IHO102">
    <cfRule type="duplicateValues" dxfId="0" priority="1537"/>
  </conditionalFormatting>
  <conditionalFormatting sqref="IHV102">
    <cfRule type="duplicateValues" dxfId="0" priority="1536"/>
  </conditionalFormatting>
  <conditionalFormatting sqref="IIC102">
    <cfRule type="duplicateValues" dxfId="0" priority="1535"/>
  </conditionalFormatting>
  <conditionalFormatting sqref="IIJ102">
    <cfRule type="duplicateValues" dxfId="0" priority="1534"/>
  </conditionalFormatting>
  <conditionalFormatting sqref="IIQ102">
    <cfRule type="duplicateValues" dxfId="0" priority="1533"/>
  </conditionalFormatting>
  <conditionalFormatting sqref="IIX102">
    <cfRule type="duplicateValues" dxfId="0" priority="1532"/>
  </conditionalFormatting>
  <conditionalFormatting sqref="IJE102">
    <cfRule type="duplicateValues" dxfId="0" priority="1531"/>
  </conditionalFormatting>
  <conditionalFormatting sqref="IJL102">
    <cfRule type="duplicateValues" dxfId="0" priority="1530"/>
  </conditionalFormatting>
  <conditionalFormatting sqref="IJS102">
    <cfRule type="duplicateValues" dxfId="0" priority="1529"/>
  </conditionalFormatting>
  <conditionalFormatting sqref="IJZ102">
    <cfRule type="duplicateValues" dxfId="0" priority="1528"/>
  </conditionalFormatting>
  <conditionalFormatting sqref="IKG102">
    <cfRule type="duplicateValues" dxfId="0" priority="1527"/>
  </conditionalFormatting>
  <conditionalFormatting sqref="IKN102">
    <cfRule type="duplicateValues" dxfId="0" priority="1526"/>
  </conditionalFormatting>
  <conditionalFormatting sqref="IKU102">
    <cfRule type="duplicateValues" dxfId="0" priority="1525"/>
  </conditionalFormatting>
  <conditionalFormatting sqref="ILB102">
    <cfRule type="duplicateValues" dxfId="0" priority="1524"/>
  </conditionalFormatting>
  <conditionalFormatting sqref="ILI102">
    <cfRule type="duplicateValues" dxfId="0" priority="1523"/>
  </conditionalFormatting>
  <conditionalFormatting sqref="ILP102">
    <cfRule type="duplicateValues" dxfId="0" priority="1522"/>
  </conditionalFormatting>
  <conditionalFormatting sqref="ILW102">
    <cfRule type="duplicateValues" dxfId="0" priority="1521"/>
  </conditionalFormatting>
  <conditionalFormatting sqref="IMD102">
    <cfRule type="duplicateValues" dxfId="0" priority="1520"/>
  </conditionalFormatting>
  <conditionalFormatting sqref="IMK102">
    <cfRule type="duplicateValues" dxfId="0" priority="1519"/>
  </conditionalFormatting>
  <conditionalFormatting sqref="IMR102">
    <cfRule type="duplicateValues" dxfId="0" priority="1518"/>
  </conditionalFormatting>
  <conditionalFormatting sqref="IMY102">
    <cfRule type="duplicateValues" dxfId="0" priority="1517"/>
  </conditionalFormatting>
  <conditionalFormatting sqref="INF102">
    <cfRule type="duplicateValues" dxfId="0" priority="1516"/>
  </conditionalFormatting>
  <conditionalFormatting sqref="INM102">
    <cfRule type="duplicateValues" dxfId="0" priority="1515"/>
  </conditionalFormatting>
  <conditionalFormatting sqref="INT102">
    <cfRule type="duplicateValues" dxfId="0" priority="1514"/>
  </conditionalFormatting>
  <conditionalFormatting sqref="IOA102">
    <cfRule type="duplicateValues" dxfId="0" priority="1513"/>
  </conditionalFormatting>
  <conditionalFormatting sqref="IOH102">
    <cfRule type="duplicateValues" dxfId="0" priority="1512"/>
  </conditionalFormatting>
  <conditionalFormatting sqref="IOO102">
    <cfRule type="duplicateValues" dxfId="0" priority="1511"/>
  </conditionalFormatting>
  <conditionalFormatting sqref="IOV102">
    <cfRule type="duplicateValues" dxfId="0" priority="1510"/>
  </conditionalFormatting>
  <conditionalFormatting sqref="IPC102">
    <cfRule type="duplicateValues" dxfId="0" priority="1509"/>
  </conditionalFormatting>
  <conditionalFormatting sqref="IPJ102">
    <cfRule type="duplicateValues" dxfId="0" priority="1508"/>
  </conditionalFormatting>
  <conditionalFormatting sqref="IPQ102">
    <cfRule type="duplicateValues" dxfId="0" priority="1507"/>
  </conditionalFormatting>
  <conditionalFormatting sqref="IPX102">
    <cfRule type="duplicateValues" dxfId="0" priority="1506"/>
  </conditionalFormatting>
  <conditionalFormatting sqref="IQE102">
    <cfRule type="duplicateValues" dxfId="0" priority="1505"/>
  </conditionalFormatting>
  <conditionalFormatting sqref="IQL102">
    <cfRule type="duplicateValues" dxfId="0" priority="1504"/>
  </conditionalFormatting>
  <conditionalFormatting sqref="IQS102">
    <cfRule type="duplicateValues" dxfId="0" priority="1503"/>
  </conditionalFormatting>
  <conditionalFormatting sqref="IQZ102">
    <cfRule type="duplicateValues" dxfId="0" priority="1502"/>
  </conditionalFormatting>
  <conditionalFormatting sqref="IRG102">
    <cfRule type="duplicateValues" dxfId="0" priority="1501"/>
  </conditionalFormatting>
  <conditionalFormatting sqref="IRN102">
    <cfRule type="duplicateValues" dxfId="0" priority="1500"/>
  </conditionalFormatting>
  <conditionalFormatting sqref="IRU102">
    <cfRule type="duplicateValues" dxfId="0" priority="1499"/>
  </conditionalFormatting>
  <conditionalFormatting sqref="ISB102">
    <cfRule type="duplicateValues" dxfId="0" priority="1498"/>
  </conditionalFormatting>
  <conditionalFormatting sqref="ISI102">
    <cfRule type="duplicateValues" dxfId="0" priority="1497"/>
  </conditionalFormatting>
  <conditionalFormatting sqref="ISP102">
    <cfRule type="duplicateValues" dxfId="0" priority="1496"/>
  </conditionalFormatting>
  <conditionalFormatting sqref="ISW102">
    <cfRule type="duplicateValues" dxfId="0" priority="1495"/>
  </conditionalFormatting>
  <conditionalFormatting sqref="ITD102">
    <cfRule type="duplicateValues" dxfId="0" priority="1494"/>
  </conditionalFormatting>
  <conditionalFormatting sqref="ITK102">
    <cfRule type="duplicateValues" dxfId="0" priority="1493"/>
  </conditionalFormatting>
  <conditionalFormatting sqref="ITR102">
    <cfRule type="duplicateValues" dxfId="0" priority="1492"/>
  </conditionalFormatting>
  <conditionalFormatting sqref="ITY102">
    <cfRule type="duplicateValues" dxfId="0" priority="1491"/>
  </conditionalFormatting>
  <conditionalFormatting sqref="IUF102">
    <cfRule type="duplicateValues" dxfId="0" priority="1490"/>
  </conditionalFormatting>
  <conditionalFormatting sqref="IUM102">
    <cfRule type="duplicateValues" dxfId="0" priority="1489"/>
  </conditionalFormatting>
  <conditionalFormatting sqref="IUT102">
    <cfRule type="duplicateValues" dxfId="0" priority="1488"/>
  </conditionalFormatting>
  <conditionalFormatting sqref="IVA102">
    <cfRule type="duplicateValues" dxfId="0" priority="1487"/>
  </conditionalFormatting>
  <conditionalFormatting sqref="IVH102">
    <cfRule type="duplicateValues" dxfId="0" priority="1486"/>
  </conditionalFormatting>
  <conditionalFormatting sqref="IVO102">
    <cfRule type="duplicateValues" dxfId="0" priority="1485"/>
  </conditionalFormatting>
  <conditionalFormatting sqref="IVV102">
    <cfRule type="duplicateValues" dxfId="0" priority="1484"/>
  </conditionalFormatting>
  <conditionalFormatting sqref="IWC102">
    <cfRule type="duplicateValues" dxfId="0" priority="1483"/>
  </conditionalFormatting>
  <conditionalFormatting sqref="IWJ102">
    <cfRule type="duplicateValues" dxfId="0" priority="1482"/>
  </conditionalFormatting>
  <conditionalFormatting sqref="IWQ102">
    <cfRule type="duplicateValues" dxfId="0" priority="1481"/>
  </conditionalFormatting>
  <conditionalFormatting sqref="IWX102">
    <cfRule type="duplicateValues" dxfId="0" priority="1480"/>
  </conditionalFormatting>
  <conditionalFormatting sqref="IXE102">
    <cfRule type="duplicateValues" dxfId="0" priority="1479"/>
  </conditionalFormatting>
  <conditionalFormatting sqref="IXL102">
    <cfRule type="duplicateValues" dxfId="0" priority="1478"/>
  </conditionalFormatting>
  <conditionalFormatting sqref="IXS102">
    <cfRule type="duplicateValues" dxfId="0" priority="1477"/>
  </conditionalFormatting>
  <conditionalFormatting sqref="IXZ102">
    <cfRule type="duplicateValues" dxfId="0" priority="1476"/>
  </conditionalFormatting>
  <conditionalFormatting sqref="IYG102">
    <cfRule type="duplicateValues" dxfId="0" priority="1475"/>
  </conditionalFormatting>
  <conditionalFormatting sqref="IYN102">
    <cfRule type="duplicateValues" dxfId="0" priority="1474"/>
  </conditionalFormatting>
  <conditionalFormatting sqref="IYU102">
    <cfRule type="duplicateValues" dxfId="0" priority="1473"/>
  </conditionalFormatting>
  <conditionalFormatting sqref="IZB102">
    <cfRule type="duplicateValues" dxfId="0" priority="1472"/>
  </conditionalFormatting>
  <conditionalFormatting sqref="IZI102">
    <cfRule type="duplicateValues" dxfId="0" priority="1471"/>
  </conditionalFormatting>
  <conditionalFormatting sqref="IZP102">
    <cfRule type="duplicateValues" dxfId="0" priority="1470"/>
  </conditionalFormatting>
  <conditionalFormatting sqref="IZW102">
    <cfRule type="duplicateValues" dxfId="0" priority="1469"/>
  </conditionalFormatting>
  <conditionalFormatting sqref="JAD102">
    <cfRule type="duplicateValues" dxfId="0" priority="1468"/>
  </conditionalFormatting>
  <conditionalFormatting sqref="JAK102">
    <cfRule type="duplicateValues" dxfId="0" priority="1467"/>
  </conditionalFormatting>
  <conditionalFormatting sqref="JAR102">
    <cfRule type="duplicateValues" dxfId="0" priority="1466"/>
  </conditionalFormatting>
  <conditionalFormatting sqref="JAY102">
    <cfRule type="duplicateValues" dxfId="0" priority="1465"/>
  </conditionalFormatting>
  <conditionalFormatting sqref="JBF102">
    <cfRule type="duplicateValues" dxfId="0" priority="1464"/>
  </conditionalFormatting>
  <conditionalFormatting sqref="JBM102">
    <cfRule type="duplicateValues" dxfId="0" priority="1463"/>
  </conditionalFormatting>
  <conditionalFormatting sqref="JBT102">
    <cfRule type="duplicateValues" dxfId="0" priority="1462"/>
  </conditionalFormatting>
  <conditionalFormatting sqref="JCA102">
    <cfRule type="duplicateValues" dxfId="0" priority="1461"/>
  </conditionalFormatting>
  <conditionalFormatting sqref="JCH102">
    <cfRule type="duplicateValues" dxfId="0" priority="1460"/>
  </conditionalFormatting>
  <conditionalFormatting sqref="JCO102">
    <cfRule type="duplicateValues" dxfId="0" priority="1459"/>
  </conditionalFormatting>
  <conditionalFormatting sqref="JCV102">
    <cfRule type="duplicateValues" dxfId="0" priority="1458"/>
  </conditionalFormatting>
  <conditionalFormatting sqref="JDC102">
    <cfRule type="duplicateValues" dxfId="0" priority="1457"/>
  </conditionalFormatting>
  <conditionalFormatting sqref="JDJ102">
    <cfRule type="duplicateValues" dxfId="0" priority="1456"/>
  </conditionalFormatting>
  <conditionalFormatting sqref="JDQ102">
    <cfRule type="duplicateValues" dxfId="0" priority="1455"/>
  </conditionalFormatting>
  <conditionalFormatting sqref="JDX102">
    <cfRule type="duplicateValues" dxfId="0" priority="1454"/>
  </conditionalFormatting>
  <conditionalFormatting sqref="JEE102">
    <cfRule type="duplicateValues" dxfId="0" priority="1453"/>
  </conditionalFormatting>
  <conditionalFormatting sqref="JEL102">
    <cfRule type="duplicateValues" dxfId="0" priority="1452"/>
  </conditionalFormatting>
  <conditionalFormatting sqref="JES102">
    <cfRule type="duplicateValues" dxfId="0" priority="1451"/>
  </conditionalFormatting>
  <conditionalFormatting sqref="JEZ102">
    <cfRule type="duplicateValues" dxfId="0" priority="1450"/>
  </conditionalFormatting>
  <conditionalFormatting sqref="JFG102">
    <cfRule type="duplicateValues" dxfId="0" priority="1449"/>
  </conditionalFormatting>
  <conditionalFormatting sqref="JFN102">
    <cfRule type="duplicateValues" dxfId="0" priority="1448"/>
  </conditionalFormatting>
  <conditionalFormatting sqref="JFU102">
    <cfRule type="duplicateValues" dxfId="0" priority="1447"/>
  </conditionalFormatting>
  <conditionalFormatting sqref="JGB102">
    <cfRule type="duplicateValues" dxfId="0" priority="1446"/>
  </conditionalFormatting>
  <conditionalFormatting sqref="JGI102">
    <cfRule type="duplicateValues" dxfId="0" priority="1445"/>
  </conditionalFormatting>
  <conditionalFormatting sqref="JGP102">
    <cfRule type="duplicateValues" dxfId="0" priority="1444"/>
  </conditionalFormatting>
  <conditionalFormatting sqref="JGW102">
    <cfRule type="duplicateValues" dxfId="0" priority="1443"/>
  </conditionalFormatting>
  <conditionalFormatting sqref="JHD102">
    <cfRule type="duplicateValues" dxfId="0" priority="1442"/>
  </conditionalFormatting>
  <conditionalFormatting sqref="JHK102">
    <cfRule type="duplicateValues" dxfId="0" priority="1441"/>
  </conditionalFormatting>
  <conditionalFormatting sqref="JHR102">
    <cfRule type="duplicateValues" dxfId="0" priority="1440"/>
  </conditionalFormatting>
  <conditionalFormatting sqref="JHY102">
    <cfRule type="duplicateValues" dxfId="0" priority="1439"/>
  </conditionalFormatting>
  <conditionalFormatting sqref="JIF102">
    <cfRule type="duplicateValues" dxfId="0" priority="1438"/>
  </conditionalFormatting>
  <conditionalFormatting sqref="JIM102">
    <cfRule type="duplicateValues" dxfId="0" priority="1437"/>
  </conditionalFormatting>
  <conditionalFormatting sqref="JIT102">
    <cfRule type="duplicateValues" dxfId="0" priority="1436"/>
  </conditionalFormatting>
  <conditionalFormatting sqref="JJA102">
    <cfRule type="duplicateValues" dxfId="0" priority="1435"/>
  </conditionalFormatting>
  <conditionalFormatting sqref="JJH102">
    <cfRule type="duplicateValues" dxfId="0" priority="1434"/>
  </conditionalFormatting>
  <conditionalFormatting sqref="JJO102">
    <cfRule type="duplicateValues" dxfId="0" priority="1433"/>
  </conditionalFormatting>
  <conditionalFormatting sqref="JJV102">
    <cfRule type="duplicateValues" dxfId="0" priority="1432"/>
  </conditionalFormatting>
  <conditionalFormatting sqref="JKC102">
    <cfRule type="duplicateValues" dxfId="0" priority="1431"/>
  </conditionalFormatting>
  <conditionalFormatting sqref="JKJ102">
    <cfRule type="duplicateValues" dxfId="0" priority="1430"/>
  </conditionalFormatting>
  <conditionalFormatting sqref="JKQ102">
    <cfRule type="duplicateValues" dxfId="0" priority="1429"/>
  </conditionalFormatting>
  <conditionalFormatting sqref="JKX102">
    <cfRule type="duplicateValues" dxfId="0" priority="1428"/>
  </conditionalFormatting>
  <conditionalFormatting sqref="JLE102">
    <cfRule type="duplicateValues" dxfId="0" priority="1427"/>
  </conditionalFormatting>
  <conditionalFormatting sqref="JLL102">
    <cfRule type="duplicateValues" dxfId="0" priority="1426"/>
  </conditionalFormatting>
  <conditionalFormatting sqref="JLS102">
    <cfRule type="duplicateValues" dxfId="0" priority="1425"/>
  </conditionalFormatting>
  <conditionalFormatting sqref="JLZ102">
    <cfRule type="duplicateValues" dxfId="0" priority="1424"/>
  </conditionalFormatting>
  <conditionalFormatting sqref="JMG102">
    <cfRule type="duplicateValues" dxfId="0" priority="1423"/>
  </conditionalFormatting>
  <conditionalFormatting sqref="JMN102">
    <cfRule type="duplicateValues" dxfId="0" priority="1422"/>
  </conditionalFormatting>
  <conditionalFormatting sqref="JMU102">
    <cfRule type="duplicateValues" dxfId="0" priority="1421"/>
  </conditionalFormatting>
  <conditionalFormatting sqref="JNB102">
    <cfRule type="duplicateValues" dxfId="0" priority="1420"/>
  </conditionalFormatting>
  <conditionalFormatting sqref="JNI102">
    <cfRule type="duplicateValues" dxfId="0" priority="1419"/>
  </conditionalFormatting>
  <conditionalFormatting sqref="JNP102">
    <cfRule type="duplicateValues" dxfId="0" priority="1418"/>
  </conditionalFormatting>
  <conditionalFormatting sqref="JNW102">
    <cfRule type="duplicateValues" dxfId="0" priority="1417"/>
  </conditionalFormatting>
  <conditionalFormatting sqref="JOD102">
    <cfRule type="duplicateValues" dxfId="0" priority="1416"/>
  </conditionalFormatting>
  <conditionalFormatting sqref="JOK102">
    <cfRule type="duplicateValues" dxfId="0" priority="1415"/>
  </conditionalFormatting>
  <conditionalFormatting sqref="JOR102">
    <cfRule type="duplicateValues" dxfId="0" priority="1414"/>
  </conditionalFormatting>
  <conditionalFormatting sqref="JOY102">
    <cfRule type="duplicateValues" dxfId="0" priority="1413"/>
  </conditionalFormatting>
  <conditionalFormatting sqref="JPF102">
    <cfRule type="duplicateValues" dxfId="0" priority="1412"/>
  </conditionalFormatting>
  <conditionalFormatting sqref="JPM102">
    <cfRule type="duplicateValues" dxfId="0" priority="1411"/>
  </conditionalFormatting>
  <conditionalFormatting sqref="JPT102">
    <cfRule type="duplicateValues" dxfId="0" priority="1410"/>
  </conditionalFormatting>
  <conditionalFormatting sqref="JQA102">
    <cfRule type="duplicateValues" dxfId="0" priority="1409"/>
  </conditionalFormatting>
  <conditionalFormatting sqref="JQH102">
    <cfRule type="duplicateValues" dxfId="0" priority="1408"/>
  </conditionalFormatting>
  <conditionalFormatting sqref="JQO102">
    <cfRule type="duplicateValues" dxfId="0" priority="1407"/>
  </conditionalFormatting>
  <conditionalFormatting sqref="JQV102">
    <cfRule type="duplicateValues" dxfId="0" priority="1406"/>
  </conditionalFormatting>
  <conditionalFormatting sqref="JRC102">
    <cfRule type="duplicateValues" dxfId="0" priority="1405"/>
  </conditionalFormatting>
  <conditionalFormatting sqref="JRJ102">
    <cfRule type="duplicateValues" dxfId="0" priority="1404"/>
  </conditionalFormatting>
  <conditionalFormatting sqref="JRQ102">
    <cfRule type="duplicateValues" dxfId="0" priority="1403"/>
  </conditionalFormatting>
  <conditionalFormatting sqref="JRX102">
    <cfRule type="duplicateValues" dxfId="0" priority="1402"/>
  </conditionalFormatting>
  <conditionalFormatting sqref="JSE102">
    <cfRule type="duplicateValues" dxfId="0" priority="1401"/>
  </conditionalFormatting>
  <conditionalFormatting sqref="JSL102">
    <cfRule type="duplicateValues" dxfId="0" priority="1400"/>
  </conditionalFormatting>
  <conditionalFormatting sqref="JSS102">
    <cfRule type="duplicateValues" dxfId="0" priority="1399"/>
  </conditionalFormatting>
  <conditionalFormatting sqref="JSZ102">
    <cfRule type="duplicateValues" dxfId="0" priority="1398"/>
  </conditionalFormatting>
  <conditionalFormatting sqref="JTG102">
    <cfRule type="duplicateValues" dxfId="0" priority="1397"/>
  </conditionalFormatting>
  <conditionalFormatting sqref="JTN102">
    <cfRule type="duplicateValues" dxfId="0" priority="1396"/>
  </conditionalFormatting>
  <conditionalFormatting sqref="JTU102">
    <cfRule type="duplicateValues" dxfId="0" priority="1395"/>
  </conditionalFormatting>
  <conditionalFormatting sqref="JUB102">
    <cfRule type="duplicateValues" dxfId="0" priority="1394"/>
  </conditionalFormatting>
  <conditionalFormatting sqref="JUI102">
    <cfRule type="duplicateValues" dxfId="0" priority="1393"/>
  </conditionalFormatting>
  <conditionalFormatting sqref="JUP102">
    <cfRule type="duplicateValues" dxfId="0" priority="1392"/>
  </conditionalFormatting>
  <conditionalFormatting sqref="JUW102">
    <cfRule type="duplicateValues" dxfId="0" priority="1391"/>
  </conditionalFormatting>
  <conditionalFormatting sqref="JVD102">
    <cfRule type="duplicateValues" dxfId="0" priority="1390"/>
  </conditionalFormatting>
  <conditionalFormatting sqref="JVK102">
    <cfRule type="duplicateValues" dxfId="0" priority="1389"/>
  </conditionalFormatting>
  <conditionalFormatting sqref="JVR102">
    <cfRule type="duplicateValues" dxfId="0" priority="1388"/>
  </conditionalFormatting>
  <conditionalFormatting sqref="JVY102">
    <cfRule type="duplicateValues" dxfId="0" priority="1387"/>
  </conditionalFormatting>
  <conditionalFormatting sqref="JWF102">
    <cfRule type="duplicateValues" dxfId="0" priority="1386"/>
  </conditionalFormatting>
  <conditionalFormatting sqref="JWM102">
    <cfRule type="duplicateValues" dxfId="0" priority="1385"/>
  </conditionalFormatting>
  <conditionalFormatting sqref="JWT102">
    <cfRule type="duplicateValues" dxfId="0" priority="1384"/>
  </conditionalFormatting>
  <conditionalFormatting sqref="JXA102">
    <cfRule type="duplicateValues" dxfId="0" priority="1383"/>
  </conditionalFormatting>
  <conditionalFormatting sqref="JXH102">
    <cfRule type="duplicateValues" dxfId="0" priority="1382"/>
  </conditionalFormatting>
  <conditionalFormatting sqref="JXO102">
    <cfRule type="duplicateValues" dxfId="0" priority="1381"/>
  </conditionalFormatting>
  <conditionalFormatting sqref="JXV102">
    <cfRule type="duplicateValues" dxfId="0" priority="1380"/>
  </conditionalFormatting>
  <conditionalFormatting sqref="JYC102">
    <cfRule type="duplicateValues" dxfId="0" priority="1379"/>
  </conditionalFormatting>
  <conditionalFormatting sqref="JYJ102">
    <cfRule type="duplicateValues" dxfId="0" priority="1378"/>
  </conditionalFormatting>
  <conditionalFormatting sqref="JYQ102">
    <cfRule type="duplicateValues" dxfId="0" priority="1377"/>
  </conditionalFormatting>
  <conditionalFormatting sqref="JYX102">
    <cfRule type="duplicateValues" dxfId="0" priority="1376"/>
  </conditionalFormatting>
  <conditionalFormatting sqref="JZE102">
    <cfRule type="duplicateValues" dxfId="0" priority="1375"/>
  </conditionalFormatting>
  <conditionalFormatting sqref="JZL102">
    <cfRule type="duplicateValues" dxfId="0" priority="1374"/>
  </conditionalFormatting>
  <conditionalFormatting sqref="JZS102">
    <cfRule type="duplicateValues" dxfId="0" priority="1373"/>
  </conditionalFormatting>
  <conditionalFormatting sqref="JZZ102">
    <cfRule type="duplicateValues" dxfId="0" priority="1372"/>
  </conditionalFormatting>
  <conditionalFormatting sqref="KAG102">
    <cfRule type="duplicateValues" dxfId="0" priority="1371"/>
  </conditionalFormatting>
  <conditionalFormatting sqref="KAN102">
    <cfRule type="duplicateValues" dxfId="0" priority="1370"/>
  </conditionalFormatting>
  <conditionalFormatting sqref="KAU102">
    <cfRule type="duplicateValues" dxfId="0" priority="1369"/>
  </conditionalFormatting>
  <conditionalFormatting sqref="KBB102">
    <cfRule type="duplicateValues" dxfId="0" priority="1368"/>
  </conditionalFormatting>
  <conditionalFormatting sqref="KBI102">
    <cfRule type="duplicateValues" dxfId="0" priority="1367"/>
  </conditionalFormatting>
  <conditionalFormatting sqref="KBP102">
    <cfRule type="duplicateValues" dxfId="0" priority="1366"/>
  </conditionalFormatting>
  <conditionalFormatting sqref="KBW102">
    <cfRule type="duplicateValues" dxfId="0" priority="1365"/>
  </conditionalFormatting>
  <conditionalFormatting sqref="KCD102">
    <cfRule type="duplicateValues" dxfId="0" priority="1364"/>
  </conditionalFormatting>
  <conditionalFormatting sqref="KCK102">
    <cfRule type="duplicateValues" dxfId="0" priority="1363"/>
  </conditionalFormatting>
  <conditionalFormatting sqref="KCR102">
    <cfRule type="duplicateValues" dxfId="0" priority="1362"/>
  </conditionalFormatting>
  <conditionalFormatting sqref="KCY102">
    <cfRule type="duplicateValues" dxfId="0" priority="1361"/>
  </conditionalFormatting>
  <conditionalFormatting sqref="KDF102">
    <cfRule type="duplicateValues" dxfId="0" priority="1360"/>
  </conditionalFormatting>
  <conditionalFormatting sqref="KDM102">
    <cfRule type="duplicateValues" dxfId="0" priority="1359"/>
  </conditionalFormatting>
  <conditionalFormatting sqref="KDT102">
    <cfRule type="duplicateValues" dxfId="0" priority="1358"/>
  </conditionalFormatting>
  <conditionalFormatting sqref="KEA102">
    <cfRule type="duplicateValues" dxfId="0" priority="1357"/>
  </conditionalFormatting>
  <conditionalFormatting sqref="KEH102">
    <cfRule type="duplicateValues" dxfId="0" priority="1356"/>
  </conditionalFormatting>
  <conditionalFormatting sqref="KEO102">
    <cfRule type="duplicateValues" dxfId="0" priority="1355"/>
  </conditionalFormatting>
  <conditionalFormatting sqref="KEV102">
    <cfRule type="duplicateValues" dxfId="0" priority="1354"/>
  </conditionalFormatting>
  <conditionalFormatting sqref="KFC102">
    <cfRule type="duplicateValues" dxfId="0" priority="1353"/>
  </conditionalFormatting>
  <conditionalFormatting sqref="KFJ102">
    <cfRule type="duplicateValues" dxfId="0" priority="1352"/>
  </conditionalFormatting>
  <conditionalFormatting sqref="KFQ102">
    <cfRule type="duplicateValues" dxfId="0" priority="1351"/>
  </conditionalFormatting>
  <conditionalFormatting sqref="KFX102">
    <cfRule type="duplicateValues" dxfId="0" priority="1350"/>
  </conditionalFormatting>
  <conditionalFormatting sqref="KGE102">
    <cfRule type="duplicateValues" dxfId="0" priority="1349"/>
  </conditionalFormatting>
  <conditionalFormatting sqref="KGL102">
    <cfRule type="duplicateValues" dxfId="0" priority="1348"/>
  </conditionalFormatting>
  <conditionalFormatting sqref="KGS102">
    <cfRule type="duplicateValues" dxfId="0" priority="1347"/>
  </conditionalFormatting>
  <conditionalFormatting sqref="KGZ102">
    <cfRule type="duplicateValues" dxfId="0" priority="1346"/>
  </conditionalFormatting>
  <conditionalFormatting sqref="KHG102">
    <cfRule type="duplicateValues" dxfId="0" priority="1345"/>
  </conditionalFormatting>
  <conditionalFormatting sqref="KHN102">
    <cfRule type="duplicateValues" dxfId="0" priority="1344"/>
  </conditionalFormatting>
  <conditionalFormatting sqref="KHU102">
    <cfRule type="duplicateValues" dxfId="0" priority="1343"/>
  </conditionalFormatting>
  <conditionalFormatting sqref="KIB102">
    <cfRule type="duplicateValues" dxfId="0" priority="1342"/>
  </conditionalFormatting>
  <conditionalFormatting sqref="KII102">
    <cfRule type="duplicateValues" dxfId="0" priority="1341"/>
  </conditionalFormatting>
  <conditionalFormatting sqref="KIP102">
    <cfRule type="duplicateValues" dxfId="0" priority="1340"/>
  </conditionalFormatting>
  <conditionalFormatting sqref="KIW102">
    <cfRule type="duplicateValues" dxfId="0" priority="1339"/>
  </conditionalFormatting>
  <conditionalFormatting sqref="KJD102">
    <cfRule type="duplicateValues" dxfId="0" priority="1338"/>
  </conditionalFormatting>
  <conditionalFormatting sqref="KJK102">
    <cfRule type="duplicateValues" dxfId="0" priority="1337"/>
  </conditionalFormatting>
  <conditionalFormatting sqref="KJR102">
    <cfRule type="duplicateValues" dxfId="0" priority="1336"/>
  </conditionalFormatting>
  <conditionalFormatting sqref="KJY102">
    <cfRule type="duplicateValues" dxfId="0" priority="1335"/>
  </conditionalFormatting>
  <conditionalFormatting sqref="KKF102">
    <cfRule type="duplicateValues" dxfId="0" priority="1334"/>
  </conditionalFormatting>
  <conditionalFormatting sqref="KKM102">
    <cfRule type="duplicateValues" dxfId="0" priority="1333"/>
  </conditionalFormatting>
  <conditionalFormatting sqref="KKT102">
    <cfRule type="duplicateValues" dxfId="0" priority="1332"/>
  </conditionalFormatting>
  <conditionalFormatting sqref="KLA102">
    <cfRule type="duplicateValues" dxfId="0" priority="1331"/>
  </conditionalFormatting>
  <conditionalFormatting sqref="KLH102">
    <cfRule type="duplicateValues" dxfId="0" priority="1330"/>
  </conditionalFormatting>
  <conditionalFormatting sqref="KLO102">
    <cfRule type="duplicateValues" dxfId="0" priority="1329"/>
  </conditionalFormatting>
  <conditionalFormatting sqref="KLV102">
    <cfRule type="duplicateValues" dxfId="0" priority="1328"/>
  </conditionalFormatting>
  <conditionalFormatting sqref="KMC102">
    <cfRule type="duplicateValues" dxfId="0" priority="1327"/>
  </conditionalFormatting>
  <conditionalFormatting sqref="KMJ102">
    <cfRule type="duplicateValues" dxfId="0" priority="1326"/>
  </conditionalFormatting>
  <conditionalFormatting sqref="KMQ102">
    <cfRule type="duplicateValues" dxfId="0" priority="1325"/>
  </conditionalFormatting>
  <conditionalFormatting sqref="KMX102">
    <cfRule type="duplicateValues" dxfId="0" priority="1324"/>
  </conditionalFormatting>
  <conditionalFormatting sqref="KNE102">
    <cfRule type="duplicateValues" dxfId="0" priority="1323"/>
  </conditionalFormatting>
  <conditionalFormatting sqref="KNL102">
    <cfRule type="duplicateValues" dxfId="0" priority="1322"/>
  </conditionalFormatting>
  <conditionalFormatting sqref="KNS102">
    <cfRule type="duplicateValues" dxfId="0" priority="1321"/>
  </conditionalFormatting>
  <conditionalFormatting sqref="KNZ102">
    <cfRule type="duplicateValues" dxfId="0" priority="1320"/>
  </conditionalFormatting>
  <conditionalFormatting sqref="KOG102">
    <cfRule type="duplicateValues" dxfId="0" priority="1319"/>
  </conditionalFormatting>
  <conditionalFormatting sqref="KON102">
    <cfRule type="duplicateValues" dxfId="0" priority="1318"/>
  </conditionalFormatting>
  <conditionalFormatting sqref="KOU102">
    <cfRule type="duplicateValues" dxfId="0" priority="1317"/>
  </conditionalFormatting>
  <conditionalFormatting sqref="KPB102">
    <cfRule type="duplicateValues" dxfId="0" priority="1316"/>
  </conditionalFormatting>
  <conditionalFormatting sqref="KPI102">
    <cfRule type="duplicateValues" dxfId="0" priority="1315"/>
  </conditionalFormatting>
  <conditionalFormatting sqref="KPP102">
    <cfRule type="duplicateValues" dxfId="0" priority="1314"/>
  </conditionalFormatting>
  <conditionalFormatting sqref="KPW102">
    <cfRule type="duplicateValues" dxfId="0" priority="1313"/>
  </conditionalFormatting>
  <conditionalFormatting sqref="KQD102">
    <cfRule type="duplicateValues" dxfId="0" priority="1312"/>
  </conditionalFormatting>
  <conditionalFormatting sqref="KQK102">
    <cfRule type="duplicateValues" dxfId="0" priority="1311"/>
  </conditionalFormatting>
  <conditionalFormatting sqref="KQR102">
    <cfRule type="duplicateValues" dxfId="0" priority="1310"/>
  </conditionalFormatting>
  <conditionalFormatting sqref="KQY102">
    <cfRule type="duplicateValues" dxfId="0" priority="1309"/>
  </conditionalFormatting>
  <conditionalFormatting sqref="KRF102">
    <cfRule type="duplicateValues" dxfId="0" priority="1308"/>
  </conditionalFormatting>
  <conditionalFormatting sqref="KRM102">
    <cfRule type="duplicateValues" dxfId="0" priority="1307"/>
  </conditionalFormatting>
  <conditionalFormatting sqref="KRT102">
    <cfRule type="duplicateValues" dxfId="0" priority="1306"/>
  </conditionalFormatting>
  <conditionalFormatting sqref="KSA102">
    <cfRule type="duplicateValues" dxfId="0" priority="1305"/>
  </conditionalFormatting>
  <conditionalFormatting sqref="KSH102">
    <cfRule type="duplicateValues" dxfId="0" priority="1304"/>
  </conditionalFormatting>
  <conditionalFormatting sqref="KSO102">
    <cfRule type="duplicateValues" dxfId="0" priority="1303"/>
  </conditionalFormatting>
  <conditionalFormatting sqref="KSV102">
    <cfRule type="duplicateValues" dxfId="0" priority="1302"/>
  </conditionalFormatting>
  <conditionalFormatting sqref="KTC102">
    <cfRule type="duplicateValues" dxfId="0" priority="1301"/>
  </conditionalFormatting>
  <conditionalFormatting sqref="KTJ102">
    <cfRule type="duplicateValues" dxfId="0" priority="1300"/>
  </conditionalFormatting>
  <conditionalFormatting sqref="KTQ102">
    <cfRule type="duplicateValues" dxfId="0" priority="1299"/>
  </conditionalFormatting>
  <conditionalFormatting sqref="KTX102">
    <cfRule type="duplicateValues" dxfId="0" priority="1298"/>
  </conditionalFormatting>
  <conditionalFormatting sqref="KUE102">
    <cfRule type="duplicateValues" dxfId="0" priority="1297"/>
  </conditionalFormatting>
  <conditionalFormatting sqref="KUL102">
    <cfRule type="duplicateValues" dxfId="0" priority="1296"/>
  </conditionalFormatting>
  <conditionalFormatting sqref="KUS102">
    <cfRule type="duplicateValues" dxfId="0" priority="1295"/>
  </conditionalFormatting>
  <conditionalFormatting sqref="KUZ102">
    <cfRule type="duplicateValues" dxfId="0" priority="1294"/>
  </conditionalFormatting>
  <conditionalFormatting sqref="KVG102">
    <cfRule type="duplicateValues" dxfId="0" priority="1293"/>
  </conditionalFormatting>
  <conditionalFormatting sqref="KVN102">
    <cfRule type="duplicateValues" dxfId="0" priority="1292"/>
  </conditionalFormatting>
  <conditionalFormatting sqref="KVU102">
    <cfRule type="duplicateValues" dxfId="0" priority="1291"/>
  </conditionalFormatting>
  <conditionalFormatting sqref="KWB102">
    <cfRule type="duplicateValues" dxfId="0" priority="1290"/>
  </conditionalFormatting>
  <conditionalFormatting sqref="KWI102">
    <cfRule type="duplicateValues" dxfId="0" priority="1289"/>
  </conditionalFormatting>
  <conditionalFormatting sqref="KWP102">
    <cfRule type="duplicateValues" dxfId="0" priority="1288"/>
  </conditionalFormatting>
  <conditionalFormatting sqref="KWW102">
    <cfRule type="duplicateValues" dxfId="0" priority="1287"/>
  </conditionalFormatting>
  <conditionalFormatting sqref="KXD102">
    <cfRule type="duplicateValues" dxfId="0" priority="1286"/>
  </conditionalFormatting>
  <conditionalFormatting sqref="KXK102">
    <cfRule type="duplicateValues" dxfId="0" priority="1285"/>
  </conditionalFormatting>
  <conditionalFormatting sqref="KXR102">
    <cfRule type="duplicateValues" dxfId="0" priority="1284"/>
  </conditionalFormatting>
  <conditionalFormatting sqref="KXY102">
    <cfRule type="duplicateValues" dxfId="0" priority="1283"/>
  </conditionalFormatting>
  <conditionalFormatting sqref="KYF102">
    <cfRule type="duplicateValues" dxfId="0" priority="1282"/>
  </conditionalFormatting>
  <conditionalFormatting sqref="KYM102">
    <cfRule type="duplicateValues" dxfId="0" priority="1281"/>
  </conditionalFormatting>
  <conditionalFormatting sqref="KYT102">
    <cfRule type="duplicateValues" dxfId="0" priority="1280"/>
  </conditionalFormatting>
  <conditionalFormatting sqref="KZA102">
    <cfRule type="duplicateValues" dxfId="0" priority="1279"/>
  </conditionalFormatting>
  <conditionalFormatting sqref="KZH102">
    <cfRule type="duplicateValues" dxfId="0" priority="1278"/>
  </conditionalFormatting>
  <conditionalFormatting sqref="KZO102">
    <cfRule type="duplicateValues" dxfId="0" priority="1277"/>
  </conditionalFormatting>
  <conditionalFormatting sqref="KZV102">
    <cfRule type="duplicateValues" dxfId="0" priority="1276"/>
  </conditionalFormatting>
  <conditionalFormatting sqref="LAC102">
    <cfRule type="duplicateValues" dxfId="0" priority="1275"/>
  </conditionalFormatting>
  <conditionalFormatting sqref="LAJ102">
    <cfRule type="duplicateValues" dxfId="0" priority="1274"/>
  </conditionalFormatting>
  <conditionalFormatting sqref="LAQ102">
    <cfRule type="duplicateValues" dxfId="0" priority="1273"/>
  </conditionalFormatting>
  <conditionalFormatting sqref="LAX102">
    <cfRule type="duplicateValues" dxfId="0" priority="1272"/>
  </conditionalFormatting>
  <conditionalFormatting sqref="LBE102">
    <cfRule type="duplicateValues" dxfId="0" priority="1271"/>
  </conditionalFormatting>
  <conditionalFormatting sqref="LBL102">
    <cfRule type="duplicateValues" dxfId="0" priority="1270"/>
  </conditionalFormatting>
  <conditionalFormatting sqref="LBS102">
    <cfRule type="duplicateValues" dxfId="0" priority="1269"/>
  </conditionalFormatting>
  <conditionalFormatting sqref="LBZ102">
    <cfRule type="duplicateValues" dxfId="0" priority="1268"/>
  </conditionalFormatting>
  <conditionalFormatting sqref="LCG102">
    <cfRule type="duplicateValues" dxfId="0" priority="1267"/>
  </conditionalFormatting>
  <conditionalFormatting sqref="LCN102">
    <cfRule type="duplicateValues" dxfId="0" priority="1266"/>
  </conditionalFormatting>
  <conditionalFormatting sqref="LCU102">
    <cfRule type="duplicateValues" dxfId="0" priority="1265"/>
  </conditionalFormatting>
  <conditionalFormatting sqref="LDB102">
    <cfRule type="duplicateValues" dxfId="0" priority="1264"/>
  </conditionalFormatting>
  <conditionalFormatting sqref="LDI102">
    <cfRule type="duplicateValues" dxfId="0" priority="1263"/>
  </conditionalFormatting>
  <conditionalFormatting sqref="LDP102">
    <cfRule type="duplicateValues" dxfId="0" priority="1262"/>
  </conditionalFormatting>
  <conditionalFormatting sqref="LDW102">
    <cfRule type="duplicateValues" dxfId="0" priority="1261"/>
  </conditionalFormatting>
  <conditionalFormatting sqref="LED102">
    <cfRule type="duplicateValues" dxfId="0" priority="1260"/>
  </conditionalFormatting>
  <conditionalFormatting sqref="LEK102">
    <cfRule type="duplicateValues" dxfId="0" priority="1259"/>
  </conditionalFormatting>
  <conditionalFormatting sqref="LER102">
    <cfRule type="duplicateValues" dxfId="0" priority="1258"/>
  </conditionalFormatting>
  <conditionalFormatting sqref="LEY102">
    <cfRule type="duplicateValues" dxfId="0" priority="1257"/>
  </conditionalFormatting>
  <conditionalFormatting sqref="LFF102">
    <cfRule type="duplicateValues" dxfId="0" priority="1256"/>
  </conditionalFormatting>
  <conditionalFormatting sqref="LFM102">
    <cfRule type="duplicateValues" dxfId="0" priority="1255"/>
  </conditionalFormatting>
  <conditionalFormatting sqref="LFT102">
    <cfRule type="duplicateValues" dxfId="0" priority="1254"/>
  </conditionalFormatting>
  <conditionalFormatting sqref="LGA102">
    <cfRule type="duplicateValues" dxfId="0" priority="1253"/>
  </conditionalFormatting>
  <conditionalFormatting sqref="LGH102">
    <cfRule type="duplicateValues" dxfId="0" priority="1252"/>
  </conditionalFormatting>
  <conditionalFormatting sqref="LGO102">
    <cfRule type="duplicateValues" dxfId="0" priority="1251"/>
  </conditionalFormatting>
  <conditionalFormatting sqref="LGV102">
    <cfRule type="duplicateValues" dxfId="0" priority="1250"/>
  </conditionalFormatting>
  <conditionalFormatting sqref="LHC102">
    <cfRule type="duplicateValues" dxfId="0" priority="1249"/>
  </conditionalFormatting>
  <conditionalFormatting sqref="LHJ102">
    <cfRule type="duplicateValues" dxfId="0" priority="1248"/>
  </conditionalFormatting>
  <conditionalFormatting sqref="LHQ102">
    <cfRule type="duplicateValues" dxfId="0" priority="1247"/>
  </conditionalFormatting>
  <conditionalFormatting sqref="LHX102">
    <cfRule type="duplicateValues" dxfId="0" priority="1246"/>
  </conditionalFormatting>
  <conditionalFormatting sqref="LIE102">
    <cfRule type="duplicateValues" dxfId="0" priority="1245"/>
  </conditionalFormatting>
  <conditionalFormatting sqref="LIL102">
    <cfRule type="duplicateValues" dxfId="0" priority="1244"/>
  </conditionalFormatting>
  <conditionalFormatting sqref="LIS102">
    <cfRule type="duplicateValues" dxfId="0" priority="1243"/>
  </conditionalFormatting>
  <conditionalFormatting sqref="LIZ102">
    <cfRule type="duplicateValues" dxfId="0" priority="1242"/>
  </conditionalFormatting>
  <conditionalFormatting sqref="LJG102">
    <cfRule type="duplicateValues" dxfId="0" priority="1241"/>
  </conditionalFormatting>
  <conditionalFormatting sqref="LJN102">
    <cfRule type="duplicateValues" dxfId="0" priority="1240"/>
  </conditionalFormatting>
  <conditionalFormatting sqref="LJU102">
    <cfRule type="duplicateValues" dxfId="0" priority="1239"/>
  </conditionalFormatting>
  <conditionalFormatting sqref="LKB102">
    <cfRule type="duplicateValues" dxfId="0" priority="1238"/>
  </conditionalFormatting>
  <conditionalFormatting sqref="LKI102">
    <cfRule type="duplicateValues" dxfId="0" priority="1237"/>
  </conditionalFormatting>
  <conditionalFormatting sqref="LKP102">
    <cfRule type="duplicateValues" dxfId="0" priority="1236"/>
  </conditionalFormatting>
  <conditionalFormatting sqref="LKW102">
    <cfRule type="duplicateValues" dxfId="0" priority="1235"/>
  </conditionalFormatting>
  <conditionalFormatting sqref="LLD102">
    <cfRule type="duplicateValues" dxfId="0" priority="1234"/>
  </conditionalFormatting>
  <conditionalFormatting sqref="LLK102">
    <cfRule type="duplicateValues" dxfId="0" priority="1233"/>
  </conditionalFormatting>
  <conditionalFormatting sqref="LLR102">
    <cfRule type="duplicateValues" dxfId="0" priority="1232"/>
  </conditionalFormatting>
  <conditionalFormatting sqref="LLY102">
    <cfRule type="duplicateValues" dxfId="0" priority="1231"/>
  </conditionalFormatting>
  <conditionalFormatting sqref="LMF102">
    <cfRule type="duplicateValues" dxfId="0" priority="1230"/>
  </conditionalFormatting>
  <conditionalFormatting sqref="LMM102">
    <cfRule type="duplicateValues" dxfId="0" priority="1229"/>
  </conditionalFormatting>
  <conditionalFormatting sqref="LMT102">
    <cfRule type="duplicateValues" dxfId="0" priority="1228"/>
  </conditionalFormatting>
  <conditionalFormatting sqref="LNA102">
    <cfRule type="duplicateValues" dxfId="0" priority="1227"/>
  </conditionalFormatting>
  <conditionalFormatting sqref="LNH102">
    <cfRule type="duplicateValues" dxfId="0" priority="1226"/>
  </conditionalFormatting>
  <conditionalFormatting sqref="LNO102">
    <cfRule type="duplicateValues" dxfId="0" priority="1225"/>
  </conditionalFormatting>
  <conditionalFormatting sqref="LNV102">
    <cfRule type="duplicateValues" dxfId="0" priority="1224"/>
  </conditionalFormatting>
  <conditionalFormatting sqref="LOC102">
    <cfRule type="duplicateValues" dxfId="0" priority="1223"/>
  </conditionalFormatting>
  <conditionalFormatting sqref="LOJ102">
    <cfRule type="duplicateValues" dxfId="0" priority="1222"/>
  </conditionalFormatting>
  <conditionalFormatting sqref="LOQ102">
    <cfRule type="duplicateValues" dxfId="0" priority="1221"/>
  </conditionalFormatting>
  <conditionalFormatting sqref="LOX102">
    <cfRule type="duplicateValues" dxfId="0" priority="1220"/>
  </conditionalFormatting>
  <conditionalFormatting sqref="LPE102">
    <cfRule type="duplicateValues" dxfId="0" priority="1219"/>
  </conditionalFormatting>
  <conditionalFormatting sqref="LPL102">
    <cfRule type="duplicateValues" dxfId="0" priority="1218"/>
  </conditionalFormatting>
  <conditionalFormatting sqref="LPS102">
    <cfRule type="duplicateValues" dxfId="0" priority="1217"/>
  </conditionalFormatting>
  <conditionalFormatting sqref="LPZ102">
    <cfRule type="duplicateValues" dxfId="0" priority="1216"/>
  </conditionalFormatting>
  <conditionalFormatting sqref="LQG102">
    <cfRule type="duplicateValues" dxfId="0" priority="1215"/>
  </conditionalFormatting>
  <conditionalFormatting sqref="LQN102">
    <cfRule type="duplicateValues" dxfId="0" priority="1214"/>
  </conditionalFormatting>
  <conditionalFormatting sqref="LQU102">
    <cfRule type="duplicateValues" dxfId="0" priority="1213"/>
  </conditionalFormatting>
  <conditionalFormatting sqref="LRB102">
    <cfRule type="duplicateValues" dxfId="0" priority="1212"/>
  </conditionalFormatting>
  <conditionalFormatting sqref="LRI102">
    <cfRule type="duplicateValues" dxfId="0" priority="1211"/>
  </conditionalFormatting>
  <conditionalFormatting sqref="LRP102">
    <cfRule type="duplicateValues" dxfId="0" priority="1210"/>
  </conditionalFormatting>
  <conditionalFormatting sqref="LRW102">
    <cfRule type="duplicateValues" dxfId="0" priority="1209"/>
  </conditionalFormatting>
  <conditionalFormatting sqref="LSD102">
    <cfRule type="duplicateValues" dxfId="0" priority="1208"/>
  </conditionalFormatting>
  <conditionalFormatting sqref="LSK102">
    <cfRule type="duplicateValues" dxfId="0" priority="1207"/>
  </conditionalFormatting>
  <conditionalFormatting sqref="LSR102">
    <cfRule type="duplicateValues" dxfId="0" priority="1206"/>
  </conditionalFormatting>
  <conditionalFormatting sqref="LSY102">
    <cfRule type="duplicateValues" dxfId="0" priority="1205"/>
  </conditionalFormatting>
  <conditionalFormatting sqref="LTF102">
    <cfRule type="duplicateValues" dxfId="0" priority="1204"/>
  </conditionalFormatting>
  <conditionalFormatting sqref="LTM102">
    <cfRule type="duplicateValues" dxfId="0" priority="1203"/>
  </conditionalFormatting>
  <conditionalFormatting sqref="LTT102">
    <cfRule type="duplicateValues" dxfId="0" priority="1202"/>
  </conditionalFormatting>
  <conditionalFormatting sqref="LUA102">
    <cfRule type="duplicateValues" dxfId="0" priority="1201"/>
  </conditionalFormatting>
  <conditionalFormatting sqref="LUH102">
    <cfRule type="duplicateValues" dxfId="0" priority="1200"/>
  </conditionalFormatting>
  <conditionalFormatting sqref="LUO102">
    <cfRule type="duplicateValues" dxfId="0" priority="1199"/>
  </conditionalFormatting>
  <conditionalFormatting sqref="LUV102">
    <cfRule type="duplicateValues" dxfId="0" priority="1198"/>
  </conditionalFormatting>
  <conditionalFormatting sqref="LVC102">
    <cfRule type="duplicateValues" dxfId="0" priority="1197"/>
  </conditionalFormatting>
  <conditionalFormatting sqref="LVJ102">
    <cfRule type="duplicateValues" dxfId="0" priority="1196"/>
  </conditionalFormatting>
  <conditionalFormatting sqref="LVQ102">
    <cfRule type="duplicateValues" dxfId="0" priority="1195"/>
  </conditionalFormatting>
  <conditionalFormatting sqref="LVX102">
    <cfRule type="duplicateValues" dxfId="0" priority="1194"/>
  </conditionalFormatting>
  <conditionalFormatting sqref="LWE102">
    <cfRule type="duplicateValues" dxfId="0" priority="1193"/>
  </conditionalFormatting>
  <conditionalFormatting sqref="LWL102">
    <cfRule type="duplicateValues" dxfId="0" priority="1192"/>
  </conditionalFormatting>
  <conditionalFormatting sqref="LWS102">
    <cfRule type="duplicateValues" dxfId="0" priority="1191"/>
  </conditionalFormatting>
  <conditionalFormatting sqref="LWZ102">
    <cfRule type="duplicateValues" dxfId="0" priority="1190"/>
  </conditionalFormatting>
  <conditionalFormatting sqref="LXG102">
    <cfRule type="duplicateValues" dxfId="0" priority="1189"/>
  </conditionalFormatting>
  <conditionalFormatting sqref="LXN102">
    <cfRule type="duplicateValues" dxfId="0" priority="1188"/>
  </conditionalFormatting>
  <conditionalFormatting sqref="LXU102">
    <cfRule type="duplicateValues" dxfId="0" priority="1187"/>
  </conditionalFormatting>
  <conditionalFormatting sqref="LYB102">
    <cfRule type="duplicateValues" dxfId="0" priority="1186"/>
  </conditionalFormatting>
  <conditionalFormatting sqref="LYI102">
    <cfRule type="duplicateValues" dxfId="0" priority="1185"/>
  </conditionalFormatting>
  <conditionalFormatting sqref="LYP102">
    <cfRule type="duplicateValues" dxfId="0" priority="1184"/>
  </conditionalFormatting>
  <conditionalFormatting sqref="LYW102">
    <cfRule type="duplicateValues" dxfId="0" priority="1183"/>
  </conditionalFormatting>
  <conditionalFormatting sqref="LZD102">
    <cfRule type="duplicateValues" dxfId="0" priority="1182"/>
  </conditionalFormatting>
  <conditionalFormatting sqref="LZK102">
    <cfRule type="duplicateValues" dxfId="0" priority="1181"/>
  </conditionalFormatting>
  <conditionalFormatting sqref="LZR102">
    <cfRule type="duplicateValues" dxfId="0" priority="1180"/>
  </conditionalFormatting>
  <conditionalFormatting sqref="LZY102">
    <cfRule type="duplicateValues" dxfId="0" priority="1179"/>
  </conditionalFormatting>
  <conditionalFormatting sqref="MAF102">
    <cfRule type="duplicateValues" dxfId="0" priority="1178"/>
  </conditionalFormatting>
  <conditionalFormatting sqref="MAM102">
    <cfRule type="duplicateValues" dxfId="0" priority="1177"/>
  </conditionalFormatting>
  <conditionalFormatting sqref="MAT102">
    <cfRule type="duplicateValues" dxfId="0" priority="1176"/>
  </conditionalFormatting>
  <conditionalFormatting sqref="MBA102">
    <cfRule type="duplicateValues" dxfId="0" priority="1175"/>
  </conditionalFormatting>
  <conditionalFormatting sqref="MBH102">
    <cfRule type="duplicateValues" dxfId="0" priority="1174"/>
  </conditionalFormatting>
  <conditionalFormatting sqref="MBO102">
    <cfRule type="duplicateValues" dxfId="0" priority="1173"/>
  </conditionalFormatting>
  <conditionalFormatting sqref="MBV102">
    <cfRule type="duplicateValues" dxfId="0" priority="1172"/>
  </conditionalFormatting>
  <conditionalFormatting sqref="MCC102">
    <cfRule type="duplicateValues" dxfId="0" priority="1171"/>
  </conditionalFormatting>
  <conditionalFormatting sqref="MCJ102">
    <cfRule type="duplicateValues" dxfId="0" priority="1170"/>
  </conditionalFormatting>
  <conditionalFormatting sqref="MCQ102">
    <cfRule type="duplicateValues" dxfId="0" priority="1169"/>
  </conditionalFormatting>
  <conditionalFormatting sqref="MCX102">
    <cfRule type="duplicateValues" dxfId="0" priority="1168"/>
  </conditionalFormatting>
  <conditionalFormatting sqref="MDE102">
    <cfRule type="duplicateValues" dxfId="0" priority="1167"/>
  </conditionalFormatting>
  <conditionalFormatting sqref="MDL102">
    <cfRule type="duplicateValues" dxfId="0" priority="1166"/>
  </conditionalFormatting>
  <conditionalFormatting sqref="MDS102">
    <cfRule type="duplicateValues" dxfId="0" priority="1165"/>
  </conditionalFormatting>
  <conditionalFormatting sqref="MDZ102">
    <cfRule type="duplicateValues" dxfId="0" priority="1164"/>
  </conditionalFormatting>
  <conditionalFormatting sqref="MEG102">
    <cfRule type="duplicateValues" dxfId="0" priority="1163"/>
  </conditionalFormatting>
  <conditionalFormatting sqref="MEN102">
    <cfRule type="duplicateValues" dxfId="0" priority="1162"/>
  </conditionalFormatting>
  <conditionalFormatting sqref="MEU102">
    <cfRule type="duplicateValues" dxfId="0" priority="1161"/>
  </conditionalFormatting>
  <conditionalFormatting sqref="MFB102">
    <cfRule type="duplicateValues" dxfId="0" priority="1160"/>
  </conditionalFormatting>
  <conditionalFormatting sqref="MFI102">
    <cfRule type="duplicateValues" dxfId="0" priority="1159"/>
  </conditionalFormatting>
  <conditionalFormatting sqref="MFP102">
    <cfRule type="duplicateValues" dxfId="0" priority="1158"/>
  </conditionalFormatting>
  <conditionalFormatting sqref="MFW102">
    <cfRule type="duplicateValues" dxfId="0" priority="1157"/>
  </conditionalFormatting>
  <conditionalFormatting sqref="MGD102">
    <cfRule type="duplicateValues" dxfId="0" priority="1156"/>
  </conditionalFormatting>
  <conditionalFormatting sqref="MGK102">
    <cfRule type="duplicateValues" dxfId="0" priority="1155"/>
  </conditionalFormatting>
  <conditionalFormatting sqref="MGR102">
    <cfRule type="duplicateValues" dxfId="0" priority="1154"/>
  </conditionalFormatting>
  <conditionalFormatting sqref="MGY102">
    <cfRule type="duplicateValues" dxfId="0" priority="1153"/>
  </conditionalFormatting>
  <conditionalFormatting sqref="MHF102">
    <cfRule type="duplicateValues" dxfId="0" priority="1152"/>
  </conditionalFormatting>
  <conditionalFormatting sqref="MHM102">
    <cfRule type="duplicateValues" dxfId="0" priority="1151"/>
  </conditionalFormatting>
  <conditionalFormatting sqref="MHT102">
    <cfRule type="duplicateValues" dxfId="0" priority="1150"/>
  </conditionalFormatting>
  <conditionalFormatting sqref="MIA102">
    <cfRule type="duplicateValues" dxfId="0" priority="1149"/>
  </conditionalFormatting>
  <conditionalFormatting sqref="MIH102">
    <cfRule type="duplicateValues" dxfId="0" priority="1148"/>
  </conditionalFormatting>
  <conditionalFormatting sqref="MIO102">
    <cfRule type="duplicateValues" dxfId="0" priority="1147"/>
  </conditionalFormatting>
  <conditionalFormatting sqref="MIV102">
    <cfRule type="duplicateValues" dxfId="0" priority="1146"/>
  </conditionalFormatting>
  <conditionalFormatting sqref="MJC102">
    <cfRule type="duplicateValues" dxfId="0" priority="1145"/>
  </conditionalFormatting>
  <conditionalFormatting sqref="MJJ102">
    <cfRule type="duplicateValues" dxfId="0" priority="1144"/>
  </conditionalFormatting>
  <conditionalFormatting sqref="MJQ102">
    <cfRule type="duplicateValues" dxfId="0" priority="1143"/>
  </conditionalFormatting>
  <conditionalFormatting sqref="MJX102">
    <cfRule type="duplicateValues" dxfId="0" priority="1142"/>
  </conditionalFormatting>
  <conditionalFormatting sqref="MKE102">
    <cfRule type="duplicateValues" dxfId="0" priority="1141"/>
  </conditionalFormatting>
  <conditionalFormatting sqref="MKL102">
    <cfRule type="duplicateValues" dxfId="0" priority="1140"/>
  </conditionalFormatting>
  <conditionalFormatting sqref="MKS102">
    <cfRule type="duplicateValues" dxfId="0" priority="1139"/>
  </conditionalFormatting>
  <conditionalFormatting sqref="MKZ102">
    <cfRule type="duplicateValues" dxfId="0" priority="1138"/>
  </conditionalFormatting>
  <conditionalFormatting sqref="MLG102">
    <cfRule type="duplicateValues" dxfId="0" priority="1137"/>
  </conditionalFormatting>
  <conditionalFormatting sqref="MLN102">
    <cfRule type="duplicateValues" dxfId="0" priority="1136"/>
  </conditionalFormatting>
  <conditionalFormatting sqref="MLU102">
    <cfRule type="duplicateValues" dxfId="0" priority="1135"/>
  </conditionalFormatting>
  <conditionalFormatting sqref="MMB102">
    <cfRule type="duplicateValues" dxfId="0" priority="1134"/>
  </conditionalFormatting>
  <conditionalFormatting sqref="MMI102">
    <cfRule type="duplicateValues" dxfId="0" priority="1133"/>
  </conditionalFormatting>
  <conditionalFormatting sqref="MMP102">
    <cfRule type="duplicateValues" dxfId="0" priority="1132"/>
  </conditionalFormatting>
  <conditionalFormatting sqref="MMW102">
    <cfRule type="duplicateValues" dxfId="0" priority="1131"/>
  </conditionalFormatting>
  <conditionalFormatting sqref="MND102">
    <cfRule type="duplicateValues" dxfId="0" priority="1130"/>
  </conditionalFormatting>
  <conditionalFormatting sqref="MNK102">
    <cfRule type="duplicateValues" dxfId="0" priority="1129"/>
  </conditionalFormatting>
  <conditionalFormatting sqref="MNR102">
    <cfRule type="duplicateValues" dxfId="0" priority="1128"/>
  </conditionalFormatting>
  <conditionalFormatting sqref="MNY102">
    <cfRule type="duplicateValues" dxfId="0" priority="1127"/>
  </conditionalFormatting>
  <conditionalFormatting sqref="MOF102">
    <cfRule type="duplicateValues" dxfId="0" priority="1126"/>
  </conditionalFormatting>
  <conditionalFormatting sqref="MOM102">
    <cfRule type="duplicateValues" dxfId="0" priority="1125"/>
  </conditionalFormatting>
  <conditionalFormatting sqref="MOT102">
    <cfRule type="duplicateValues" dxfId="0" priority="1124"/>
  </conditionalFormatting>
  <conditionalFormatting sqref="MPA102">
    <cfRule type="duplicateValues" dxfId="0" priority="1123"/>
  </conditionalFormatting>
  <conditionalFormatting sqref="MPH102">
    <cfRule type="duplicateValues" dxfId="0" priority="1122"/>
  </conditionalFormatting>
  <conditionalFormatting sqref="MPO102">
    <cfRule type="duplicateValues" dxfId="0" priority="1121"/>
  </conditionalFormatting>
  <conditionalFormatting sqref="MPV102">
    <cfRule type="duplicateValues" dxfId="0" priority="1120"/>
  </conditionalFormatting>
  <conditionalFormatting sqref="MQC102">
    <cfRule type="duplicateValues" dxfId="0" priority="1119"/>
  </conditionalFormatting>
  <conditionalFormatting sqref="MQJ102">
    <cfRule type="duplicateValues" dxfId="0" priority="1118"/>
  </conditionalFormatting>
  <conditionalFormatting sqref="MQQ102">
    <cfRule type="duplicateValues" dxfId="0" priority="1117"/>
  </conditionalFormatting>
  <conditionalFormatting sqref="MQX102">
    <cfRule type="duplicateValues" dxfId="0" priority="1116"/>
  </conditionalFormatting>
  <conditionalFormatting sqref="MRE102">
    <cfRule type="duplicateValues" dxfId="0" priority="1115"/>
  </conditionalFormatting>
  <conditionalFormatting sqref="MRL102">
    <cfRule type="duplicateValues" dxfId="0" priority="1114"/>
  </conditionalFormatting>
  <conditionalFormatting sqref="MRS102">
    <cfRule type="duplicateValues" dxfId="0" priority="1113"/>
  </conditionalFormatting>
  <conditionalFormatting sqref="MRZ102">
    <cfRule type="duplicateValues" dxfId="0" priority="1112"/>
  </conditionalFormatting>
  <conditionalFormatting sqref="MSG102">
    <cfRule type="duplicateValues" dxfId="0" priority="1111"/>
  </conditionalFormatting>
  <conditionalFormatting sqref="MSN102">
    <cfRule type="duplicateValues" dxfId="0" priority="1110"/>
  </conditionalFormatting>
  <conditionalFormatting sqref="MSU102">
    <cfRule type="duplicateValues" dxfId="0" priority="1109"/>
  </conditionalFormatting>
  <conditionalFormatting sqref="MTB102">
    <cfRule type="duplicateValues" dxfId="0" priority="1108"/>
  </conditionalFormatting>
  <conditionalFormatting sqref="MTI102">
    <cfRule type="duplicateValues" dxfId="0" priority="1107"/>
  </conditionalFormatting>
  <conditionalFormatting sqref="MTP102">
    <cfRule type="duplicateValues" dxfId="0" priority="1106"/>
  </conditionalFormatting>
  <conditionalFormatting sqref="MTW102">
    <cfRule type="duplicateValues" dxfId="0" priority="1105"/>
  </conditionalFormatting>
  <conditionalFormatting sqref="MUD102">
    <cfRule type="duplicateValues" dxfId="0" priority="1104"/>
  </conditionalFormatting>
  <conditionalFormatting sqref="MUK102">
    <cfRule type="duplicateValues" dxfId="0" priority="1103"/>
  </conditionalFormatting>
  <conditionalFormatting sqref="MUR102">
    <cfRule type="duplicateValues" dxfId="0" priority="1102"/>
  </conditionalFormatting>
  <conditionalFormatting sqref="MUY102">
    <cfRule type="duplicateValues" dxfId="0" priority="1101"/>
  </conditionalFormatting>
  <conditionalFormatting sqref="MVF102">
    <cfRule type="duplicateValues" dxfId="0" priority="1100"/>
  </conditionalFormatting>
  <conditionalFormatting sqref="MVM102">
    <cfRule type="duplicateValues" dxfId="0" priority="1099"/>
  </conditionalFormatting>
  <conditionalFormatting sqref="MVT102">
    <cfRule type="duplicateValues" dxfId="0" priority="1098"/>
  </conditionalFormatting>
  <conditionalFormatting sqref="MWA102">
    <cfRule type="duplicateValues" dxfId="0" priority="1097"/>
  </conditionalFormatting>
  <conditionalFormatting sqref="MWH102">
    <cfRule type="duplicateValues" dxfId="0" priority="1096"/>
  </conditionalFormatting>
  <conditionalFormatting sqref="MWO102">
    <cfRule type="duplicateValues" dxfId="0" priority="1095"/>
  </conditionalFormatting>
  <conditionalFormatting sqref="MWV102">
    <cfRule type="duplicateValues" dxfId="0" priority="1094"/>
  </conditionalFormatting>
  <conditionalFormatting sqref="MXC102">
    <cfRule type="duplicateValues" dxfId="0" priority="1093"/>
  </conditionalFormatting>
  <conditionalFormatting sqref="MXJ102">
    <cfRule type="duplicateValues" dxfId="0" priority="1092"/>
  </conditionalFormatting>
  <conditionalFormatting sqref="MXQ102">
    <cfRule type="duplicateValues" dxfId="0" priority="1091"/>
  </conditionalFormatting>
  <conditionalFormatting sqref="MXX102">
    <cfRule type="duplicateValues" dxfId="0" priority="1090"/>
  </conditionalFormatting>
  <conditionalFormatting sqref="MYE102">
    <cfRule type="duplicateValues" dxfId="0" priority="1089"/>
  </conditionalFormatting>
  <conditionalFormatting sqref="MYL102">
    <cfRule type="duplicateValues" dxfId="0" priority="1088"/>
  </conditionalFormatting>
  <conditionalFormatting sqref="MYS102">
    <cfRule type="duplicateValues" dxfId="0" priority="1087"/>
  </conditionalFormatting>
  <conditionalFormatting sqref="MYZ102">
    <cfRule type="duplicateValues" dxfId="0" priority="1086"/>
  </conditionalFormatting>
  <conditionalFormatting sqref="MZG102">
    <cfRule type="duplicateValues" dxfId="0" priority="1085"/>
  </conditionalFormatting>
  <conditionalFormatting sqref="MZN102">
    <cfRule type="duplicateValues" dxfId="0" priority="1084"/>
  </conditionalFormatting>
  <conditionalFormatting sqref="MZU102">
    <cfRule type="duplicateValues" dxfId="0" priority="1083"/>
  </conditionalFormatting>
  <conditionalFormatting sqref="NAB102">
    <cfRule type="duplicateValues" dxfId="0" priority="1082"/>
  </conditionalFormatting>
  <conditionalFormatting sqref="NAI102">
    <cfRule type="duplicateValues" dxfId="0" priority="1081"/>
  </conditionalFormatting>
  <conditionalFormatting sqref="NAP102">
    <cfRule type="duplicateValues" dxfId="0" priority="1080"/>
  </conditionalFormatting>
  <conditionalFormatting sqref="NAW102">
    <cfRule type="duplicateValues" dxfId="0" priority="1079"/>
  </conditionalFormatting>
  <conditionalFormatting sqref="NBD102">
    <cfRule type="duplicateValues" dxfId="0" priority="1078"/>
  </conditionalFormatting>
  <conditionalFormatting sqref="NBK102">
    <cfRule type="duplicateValues" dxfId="0" priority="1077"/>
  </conditionalFormatting>
  <conditionalFormatting sqref="NBR102">
    <cfRule type="duplicateValues" dxfId="0" priority="1076"/>
  </conditionalFormatting>
  <conditionalFormatting sqref="NBY102">
    <cfRule type="duplicateValues" dxfId="0" priority="1075"/>
  </conditionalFormatting>
  <conditionalFormatting sqref="NCF102">
    <cfRule type="duplicateValues" dxfId="0" priority="1074"/>
  </conditionalFormatting>
  <conditionalFormatting sqref="NCM102">
    <cfRule type="duplicateValues" dxfId="0" priority="1073"/>
  </conditionalFormatting>
  <conditionalFormatting sqref="NCT102">
    <cfRule type="duplicateValues" dxfId="0" priority="1072"/>
  </conditionalFormatting>
  <conditionalFormatting sqref="NDA102">
    <cfRule type="duplicateValues" dxfId="0" priority="1071"/>
  </conditionalFormatting>
  <conditionalFormatting sqref="NDH102">
    <cfRule type="duplicateValues" dxfId="0" priority="1070"/>
  </conditionalFormatting>
  <conditionalFormatting sqref="NDO102">
    <cfRule type="duplicateValues" dxfId="0" priority="1069"/>
  </conditionalFormatting>
  <conditionalFormatting sqref="NDV102">
    <cfRule type="duplicateValues" dxfId="0" priority="1068"/>
  </conditionalFormatting>
  <conditionalFormatting sqref="NEC102">
    <cfRule type="duplicateValues" dxfId="0" priority="1067"/>
  </conditionalFormatting>
  <conditionalFormatting sqref="NEJ102">
    <cfRule type="duplicateValues" dxfId="0" priority="1066"/>
  </conditionalFormatting>
  <conditionalFormatting sqref="NEQ102">
    <cfRule type="duplicateValues" dxfId="0" priority="1065"/>
  </conditionalFormatting>
  <conditionalFormatting sqref="NEX102">
    <cfRule type="duplicateValues" dxfId="0" priority="1064"/>
  </conditionalFormatting>
  <conditionalFormatting sqref="NFE102">
    <cfRule type="duplicateValues" dxfId="0" priority="1063"/>
  </conditionalFormatting>
  <conditionalFormatting sqref="NFL102">
    <cfRule type="duplicateValues" dxfId="0" priority="1062"/>
  </conditionalFormatting>
  <conditionalFormatting sqref="NFS102">
    <cfRule type="duplicateValues" dxfId="0" priority="1061"/>
  </conditionalFormatting>
  <conditionalFormatting sqref="NFZ102">
    <cfRule type="duplicateValues" dxfId="0" priority="1060"/>
  </conditionalFormatting>
  <conditionalFormatting sqref="NGG102">
    <cfRule type="duplicateValues" dxfId="0" priority="1059"/>
  </conditionalFormatting>
  <conditionalFormatting sqref="NGN102">
    <cfRule type="duplicateValues" dxfId="0" priority="1058"/>
  </conditionalFormatting>
  <conditionalFormatting sqref="NGU102">
    <cfRule type="duplicateValues" dxfId="0" priority="1057"/>
  </conditionalFormatting>
  <conditionalFormatting sqref="NHB102">
    <cfRule type="duplicateValues" dxfId="0" priority="1056"/>
  </conditionalFormatting>
  <conditionalFormatting sqref="NHI102">
    <cfRule type="duplicateValues" dxfId="0" priority="1055"/>
  </conditionalFormatting>
  <conditionalFormatting sqref="NHP102">
    <cfRule type="duplicateValues" dxfId="0" priority="1054"/>
  </conditionalFormatting>
  <conditionalFormatting sqref="NHW102">
    <cfRule type="duplicateValues" dxfId="0" priority="1053"/>
  </conditionalFormatting>
  <conditionalFormatting sqref="NID102">
    <cfRule type="duplicateValues" dxfId="0" priority="1052"/>
  </conditionalFormatting>
  <conditionalFormatting sqref="NIK102">
    <cfRule type="duplicateValues" dxfId="0" priority="1051"/>
  </conditionalFormatting>
  <conditionalFormatting sqref="NIR102">
    <cfRule type="duplicateValues" dxfId="0" priority="1050"/>
  </conditionalFormatting>
  <conditionalFormatting sqref="NIY102">
    <cfRule type="duplicateValues" dxfId="0" priority="1049"/>
  </conditionalFormatting>
  <conditionalFormatting sqref="NJF102">
    <cfRule type="duplicateValues" dxfId="0" priority="1048"/>
  </conditionalFormatting>
  <conditionalFormatting sqref="NJM102">
    <cfRule type="duplicateValues" dxfId="0" priority="1047"/>
  </conditionalFormatting>
  <conditionalFormatting sqref="NJT102">
    <cfRule type="duplicateValues" dxfId="0" priority="1046"/>
  </conditionalFormatting>
  <conditionalFormatting sqref="NKA102">
    <cfRule type="duplicateValues" dxfId="0" priority="1045"/>
  </conditionalFormatting>
  <conditionalFormatting sqref="NKH102">
    <cfRule type="duplicateValues" dxfId="0" priority="1044"/>
  </conditionalFormatting>
  <conditionalFormatting sqref="NKO102">
    <cfRule type="duplicateValues" dxfId="0" priority="1043"/>
  </conditionalFormatting>
  <conditionalFormatting sqref="NKV102">
    <cfRule type="duplicateValues" dxfId="0" priority="1042"/>
  </conditionalFormatting>
  <conditionalFormatting sqref="NLC102">
    <cfRule type="duplicateValues" dxfId="0" priority="1041"/>
  </conditionalFormatting>
  <conditionalFormatting sqref="NLJ102">
    <cfRule type="duplicateValues" dxfId="0" priority="1040"/>
  </conditionalFormatting>
  <conditionalFormatting sqref="NLQ102">
    <cfRule type="duplicateValues" dxfId="0" priority="1039"/>
  </conditionalFormatting>
  <conditionalFormatting sqref="NLX102">
    <cfRule type="duplicateValues" dxfId="0" priority="1038"/>
  </conditionalFormatting>
  <conditionalFormatting sqref="NME102">
    <cfRule type="duplicateValues" dxfId="0" priority="1037"/>
  </conditionalFormatting>
  <conditionalFormatting sqref="NML102">
    <cfRule type="duplicateValues" dxfId="0" priority="1036"/>
  </conditionalFormatting>
  <conditionalFormatting sqref="NMS102">
    <cfRule type="duplicateValues" dxfId="0" priority="1035"/>
  </conditionalFormatting>
  <conditionalFormatting sqref="NMZ102">
    <cfRule type="duplicateValues" dxfId="0" priority="1034"/>
  </conditionalFormatting>
  <conditionalFormatting sqref="NNG102">
    <cfRule type="duplicateValues" dxfId="0" priority="1033"/>
  </conditionalFormatting>
  <conditionalFormatting sqref="NNN102">
    <cfRule type="duplicateValues" dxfId="0" priority="1032"/>
  </conditionalFormatting>
  <conditionalFormatting sqref="NNU102">
    <cfRule type="duplicateValues" dxfId="0" priority="1031"/>
  </conditionalFormatting>
  <conditionalFormatting sqref="NOB102">
    <cfRule type="duplicateValues" dxfId="0" priority="1030"/>
  </conditionalFormatting>
  <conditionalFormatting sqref="NOI102">
    <cfRule type="duplicateValues" dxfId="0" priority="1029"/>
  </conditionalFormatting>
  <conditionalFormatting sqref="NOP102">
    <cfRule type="duplicateValues" dxfId="0" priority="1028"/>
  </conditionalFormatting>
  <conditionalFormatting sqref="NOW102">
    <cfRule type="duplicateValues" dxfId="0" priority="1027"/>
  </conditionalFormatting>
  <conditionalFormatting sqref="NPD102">
    <cfRule type="duplicateValues" dxfId="0" priority="1026"/>
  </conditionalFormatting>
  <conditionalFormatting sqref="NPK102">
    <cfRule type="duplicateValues" dxfId="0" priority="1025"/>
  </conditionalFormatting>
  <conditionalFormatting sqref="NPR102">
    <cfRule type="duplicateValues" dxfId="0" priority="1024"/>
  </conditionalFormatting>
  <conditionalFormatting sqref="NPY102">
    <cfRule type="duplicateValues" dxfId="0" priority="1023"/>
  </conditionalFormatting>
  <conditionalFormatting sqref="NQF102">
    <cfRule type="duplicateValues" dxfId="0" priority="1022"/>
  </conditionalFormatting>
  <conditionalFormatting sqref="NQM102">
    <cfRule type="duplicateValues" dxfId="0" priority="1021"/>
  </conditionalFormatting>
  <conditionalFormatting sqref="NQT102">
    <cfRule type="duplicateValues" dxfId="0" priority="1020"/>
  </conditionalFormatting>
  <conditionalFormatting sqref="NRA102">
    <cfRule type="duplicateValues" dxfId="0" priority="1019"/>
  </conditionalFormatting>
  <conditionalFormatting sqref="NRH102">
    <cfRule type="duplicateValues" dxfId="0" priority="1018"/>
  </conditionalFormatting>
  <conditionalFormatting sqref="NRO102">
    <cfRule type="duplicateValues" dxfId="0" priority="1017"/>
  </conditionalFormatting>
  <conditionalFormatting sqref="NRV102">
    <cfRule type="duplicateValues" dxfId="0" priority="1016"/>
  </conditionalFormatting>
  <conditionalFormatting sqref="NSC102">
    <cfRule type="duplicateValues" dxfId="0" priority="1015"/>
  </conditionalFormatting>
  <conditionalFormatting sqref="NSJ102">
    <cfRule type="duplicateValues" dxfId="0" priority="1014"/>
  </conditionalFormatting>
  <conditionalFormatting sqref="NSQ102">
    <cfRule type="duplicateValues" dxfId="0" priority="1013"/>
  </conditionalFormatting>
  <conditionalFormatting sqref="NSX102">
    <cfRule type="duplicateValues" dxfId="0" priority="1012"/>
  </conditionalFormatting>
  <conditionalFormatting sqref="NTE102">
    <cfRule type="duplicateValues" dxfId="0" priority="1011"/>
  </conditionalFormatting>
  <conditionalFormatting sqref="NTL102">
    <cfRule type="duplicateValues" dxfId="0" priority="1010"/>
  </conditionalFormatting>
  <conditionalFormatting sqref="NTS102">
    <cfRule type="duplicateValues" dxfId="0" priority="1009"/>
  </conditionalFormatting>
  <conditionalFormatting sqref="NTZ102">
    <cfRule type="duplicateValues" dxfId="0" priority="1008"/>
  </conditionalFormatting>
  <conditionalFormatting sqref="NUG102">
    <cfRule type="duplicateValues" dxfId="0" priority="1007"/>
  </conditionalFormatting>
  <conditionalFormatting sqref="NUN102">
    <cfRule type="duplicateValues" dxfId="0" priority="1006"/>
  </conditionalFormatting>
  <conditionalFormatting sqref="NUU102">
    <cfRule type="duplicateValues" dxfId="0" priority="1005"/>
  </conditionalFormatting>
  <conditionalFormatting sqref="NVB102">
    <cfRule type="duplicateValues" dxfId="0" priority="1004"/>
  </conditionalFormatting>
  <conditionalFormatting sqref="NVI102">
    <cfRule type="duplicateValues" dxfId="0" priority="1003"/>
  </conditionalFormatting>
  <conditionalFormatting sqref="NVP102">
    <cfRule type="duplicateValues" dxfId="0" priority="1002"/>
  </conditionalFormatting>
  <conditionalFormatting sqref="NVW102">
    <cfRule type="duplicateValues" dxfId="0" priority="1001"/>
  </conditionalFormatting>
  <conditionalFormatting sqref="NWD102">
    <cfRule type="duplicateValues" dxfId="0" priority="1000"/>
  </conditionalFormatting>
  <conditionalFormatting sqref="NWK102">
    <cfRule type="duplicateValues" dxfId="0" priority="999"/>
  </conditionalFormatting>
  <conditionalFormatting sqref="NWR102">
    <cfRule type="duplicateValues" dxfId="0" priority="998"/>
  </conditionalFormatting>
  <conditionalFormatting sqref="NWY102">
    <cfRule type="duplicateValues" dxfId="0" priority="997"/>
  </conditionalFormatting>
  <conditionalFormatting sqref="NXF102">
    <cfRule type="duplicateValues" dxfId="0" priority="996"/>
  </conditionalFormatting>
  <conditionalFormatting sqref="NXM102">
    <cfRule type="duplicateValues" dxfId="0" priority="995"/>
  </conditionalFormatting>
  <conditionalFormatting sqref="NXT102">
    <cfRule type="duplicateValues" dxfId="0" priority="994"/>
  </conditionalFormatting>
  <conditionalFormatting sqref="NYA102">
    <cfRule type="duplicateValues" dxfId="0" priority="993"/>
  </conditionalFormatting>
  <conditionalFormatting sqref="NYH102">
    <cfRule type="duplicateValues" dxfId="0" priority="992"/>
  </conditionalFormatting>
  <conditionalFormatting sqref="NYO102">
    <cfRule type="duplicateValues" dxfId="0" priority="991"/>
  </conditionalFormatting>
  <conditionalFormatting sqref="NYV102">
    <cfRule type="duplicateValues" dxfId="0" priority="990"/>
  </conditionalFormatting>
  <conditionalFormatting sqref="NZC102">
    <cfRule type="duplicateValues" dxfId="0" priority="989"/>
  </conditionalFormatting>
  <conditionalFormatting sqref="NZJ102">
    <cfRule type="duplicateValues" dxfId="0" priority="988"/>
  </conditionalFormatting>
  <conditionalFormatting sqref="NZQ102">
    <cfRule type="duplicateValues" dxfId="0" priority="987"/>
  </conditionalFormatting>
  <conditionalFormatting sqref="NZX102">
    <cfRule type="duplicateValues" dxfId="0" priority="986"/>
  </conditionalFormatting>
  <conditionalFormatting sqref="OAE102">
    <cfRule type="duplicateValues" dxfId="0" priority="985"/>
  </conditionalFormatting>
  <conditionalFormatting sqref="OAL102">
    <cfRule type="duplicateValues" dxfId="0" priority="984"/>
  </conditionalFormatting>
  <conditionalFormatting sqref="OAS102">
    <cfRule type="duplicateValues" dxfId="0" priority="983"/>
  </conditionalFormatting>
  <conditionalFormatting sqref="OAZ102">
    <cfRule type="duplicateValues" dxfId="0" priority="982"/>
  </conditionalFormatting>
  <conditionalFormatting sqref="OBG102">
    <cfRule type="duplicateValues" dxfId="0" priority="981"/>
  </conditionalFormatting>
  <conditionalFormatting sqref="OBN102">
    <cfRule type="duplicateValues" dxfId="0" priority="980"/>
  </conditionalFormatting>
  <conditionalFormatting sqref="OBU102">
    <cfRule type="duplicateValues" dxfId="0" priority="979"/>
  </conditionalFormatting>
  <conditionalFormatting sqref="OCB102">
    <cfRule type="duplicateValues" dxfId="0" priority="978"/>
  </conditionalFormatting>
  <conditionalFormatting sqref="OCI102">
    <cfRule type="duplicateValues" dxfId="0" priority="977"/>
  </conditionalFormatting>
  <conditionalFormatting sqref="OCP102">
    <cfRule type="duplicateValues" dxfId="0" priority="976"/>
  </conditionalFormatting>
  <conditionalFormatting sqref="OCW102">
    <cfRule type="duplicateValues" dxfId="0" priority="975"/>
  </conditionalFormatting>
  <conditionalFormatting sqref="ODD102">
    <cfRule type="duplicateValues" dxfId="0" priority="974"/>
  </conditionalFormatting>
  <conditionalFormatting sqref="ODK102">
    <cfRule type="duplicateValues" dxfId="0" priority="973"/>
  </conditionalFormatting>
  <conditionalFormatting sqref="ODR102">
    <cfRule type="duplicateValues" dxfId="0" priority="972"/>
  </conditionalFormatting>
  <conditionalFormatting sqref="ODY102">
    <cfRule type="duplicateValues" dxfId="0" priority="971"/>
  </conditionalFormatting>
  <conditionalFormatting sqref="OEF102">
    <cfRule type="duplicateValues" dxfId="0" priority="970"/>
  </conditionalFormatting>
  <conditionalFormatting sqref="OEM102">
    <cfRule type="duplicateValues" dxfId="0" priority="969"/>
  </conditionalFormatting>
  <conditionalFormatting sqref="OET102">
    <cfRule type="duplicateValues" dxfId="0" priority="968"/>
  </conditionalFormatting>
  <conditionalFormatting sqref="OFA102">
    <cfRule type="duplicateValues" dxfId="0" priority="967"/>
  </conditionalFormatting>
  <conditionalFormatting sqref="OFH102">
    <cfRule type="duplicateValues" dxfId="0" priority="966"/>
  </conditionalFormatting>
  <conditionalFormatting sqref="OFO102">
    <cfRule type="duplicateValues" dxfId="0" priority="965"/>
  </conditionalFormatting>
  <conditionalFormatting sqref="OFV102">
    <cfRule type="duplicateValues" dxfId="0" priority="964"/>
  </conditionalFormatting>
  <conditionalFormatting sqref="OGC102">
    <cfRule type="duplicateValues" dxfId="0" priority="963"/>
  </conditionalFormatting>
  <conditionalFormatting sqref="OGJ102">
    <cfRule type="duplicateValues" dxfId="0" priority="962"/>
  </conditionalFormatting>
  <conditionalFormatting sqref="OGQ102">
    <cfRule type="duplicateValues" dxfId="0" priority="961"/>
  </conditionalFormatting>
  <conditionalFormatting sqref="OGX102">
    <cfRule type="duplicateValues" dxfId="0" priority="960"/>
  </conditionalFormatting>
  <conditionalFormatting sqref="OHE102">
    <cfRule type="duplicateValues" dxfId="0" priority="959"/>
  </conditionalFormatting>
  <conditionalFormatting sqref="OHL102">
    <cfRule type="duplicateValues" dxfId="0" priority="958"/>
  </conditionalFormatting>
  <conditionalFormatting sqref="OHS102">
    <cfRule type="duplicateValues" dxfId="0" priority="957"/>
  </conditionalFormatting>
  <conditionalFormatting sqref="OHZ102">
    <cfRule type="duplicateValues" dxfId="0" priority="956"/>
  </conditionalFormatting>
  <conditionalFormatting sqref="OIG102">
    <cfRule type="duplicateValues" dxfId="0" priority="955"/>
  </conditionalFormatting>
  <conditionalFormatting sqref="OIN102">
    <cfRule type="duplicateValues" dxfId="0" priority="954"/>
  </conditionalFormatting>
  <conditionalFormatting sqref="OIU102">
    <cfRule type="duplicateValues" dxfId="0" priority="953"/>
  </conditionalFormatting>
  <conditionalFormatting sqref="OJB102">
    <cfRule type="duplicateValues" dxfId="0" priority="952"/>
  </conditionalFormatting>
  <conditionalFormatting sqref="OJI102">
    <cfRule type="duplicateValues" dxfId="0" priority="951"/>
  </conditionalFormatting>
  <conditionalFormatting sqref="OJP102">
    <cfRule type="duplicateValues" dxfId="0" priority="950"/>
  </conditionalFormatting>
  <conditionalFormatting sqref="OJW102">
    <cfRule type="duplicateValues" dxfId="0" priority="949"/>
  </conditionalFormatting>
  <conditionalFormatting sqref="OKD102">
    <cfRule type="duplicateValues" dxfId="0" priority="948"/>
  </conditionalFormatting>
  <conditionalFormatting sqref="OKK102">
    <cfRule type="duplicateValues" dxfId="0" priority="947"/>
  </conditionalFormatting>
  <conditionalFormatting sqref="OKR102">
    <cfRule type="duplicateValues" dxfId="0" priority="946"/>
  </conditionalFormatting>
  <conditionalFormatting sqref="OKY102">
    <cfRule type="duplicateValues" dxfId="0" priority="945"/>
  </conditionalFormatting>
  <conditionalFormatting sqref="OLF102">
    <cfRule type="duplicateValues" dxfId="0" priority="944"/>
  </conditionalFormatting>
  <conditionalFormatting sqref="OLM102">
    <cfRule type="duplicateValues" dxfId="0" priority="943"/>
  </conditionalFormatting>
  <conditionalFormatting sqref="OLT102">
    <cfRule type="duplicateValues" dxfId="0" priority="942"/>
  </conditionalFormatting>
  <conditionalFormatting sqref="OMA102">
    <cfRule type="duplicateValues" dxfId="0" priority="941"/>
  </conditionalFormatting>
  <conditionalFormatting sqref="OMH102">
    <cfRule type="duplicateValues" dxfId="0" priority="940"/>
  </conditionalFormatting>
  <conditionalFormatting sqref="OMO102">
    <cfRule type="duplicateValues" dxfId="0" priority="939"/>
  </conditionalFormatting>
  <conditionalFormatting sqref="OMV102">
    <cfRule type="duplicateValues" dxfId="0" priority="938"/>
  </conditionalFormatting>
  <conditionalFormatting sqref="ONC102">
    <cfRule type="duplicateValues" dxfId="0" priority="937"/>
  </conditionalFormatting>
  <conditionalFormatting sqref="ONJ102">
    <cfRule type="duplicateValues" dxfId="0" priority="936"/>
  </conditionalFormatting>
  <conditionalFormatting sqref="ONQ102">
    <cfRule type="duplicateValues" dxfId="0" priority="935"/>
  </conditionalFormatting>
  <conditionalFormatting sqref="ONX102">
    <cfRule type="duplicateValues" dxfId="0" priority="934"/>
  </conditionalFormatting>
  <conditionalFormatting sqref="OOE102">
    <cfRule type="duplicateValues" dxfId="0" priority="933"/>
  </conditionalFormatting>
  <conditionalFormatting sqref="OOL102">
    <cfRule type="duplicateValues" dxfId="0" priority="932"/>
  </conditionalFormatting>
  <conditionalFormatting sqref="OOS102">
    <cfRule type="duplicateValues" dxfId="0" priority="931"/>
  </conditionalFormatting>
  <conditionalFormatting sqref="OOZ102">
    <cfRule type="duplicateValues" dxfId="0" priority="930"/>
  </conditionalFormatting>
  <conditionalFormatting sqref="OPG102">
    <cfRule type="duplicateValues" dxfId="0" priority="929"/>
  </conditionalFormatting>
  <conditionalFormatting sqref="OPN102">
    <cfRule type="duplicateValues" dxfId="0" priority="928"/>
  </conditionalFormatting>
  <conditionalFormatting sqref="OPU102">
    <cfRule type="duplicateValues" dxfId="0" priority="927"/>
  </conditionalFormatting>
  <conditionalFormatting sqref="OQB102">
    <cfRule type="duplicateValues" dxfId="0" priority="926"/>
  </conditionalFormatting>
  <conditionalFormatting sqref="OQI102">
    <cfRule type="duplicateValues" dxfId="0" priority="925"/>
  </conditionalFormatting>
  <conditionalFormatting sqref="OQP102">
    <cfRule type="duplicateValues" dxfId="0" priority="924"/>
  </conditionalFormatting>
  <conditionalFormatting sqref="OQW102">
    <cfRule type="duplicateValues" dxfId="0" priority="923"/>
  </conditionalFormatting>
  <conditionalFormatting sqref="ORD102">
    <cfRule type="duplicateValues" dxfId="0" priority="922"/>
  </conditionalFormatting>
  <conditionalFormatting sqref="ORK102">
    <cfRule type="duplicateValues" dxfId="0" priority="921"/>
  </conditionalFormatting>
  <conditionalFormatting sqref="ORR102">
    <cfRule type="duplicateValues" dxfId="0" priority="920"/>
  </conditionalFormatting>
  <conditionalFormatting sqref="ORY102">
    <cfRule type="duplicateValues" dxfId="0" priority="919"/>
  </conditionalFormatting>
  <conditionalFormatting sqref="OSF102">
    <cfRule type="duplicateValues" dxfId="0" priority="918"/>
  </conditionalFormatting>
  <conditionalFormatting sqref="OSM102">
    <cfRule type="duplicateValues" dxfId="0" priority="917"/>
  </conditionalFormatting>
  <conditionalFormatting sqref="OST102">
    <cfRule type="duplicateValues" dxfId="0" priority="916"/>
  </conditionalFormatting>
  <conditionalFormatting sqref="OTA102">
    <cfRule type="duplicateValues" dxfId="0" priority="915"/>
  </conditionalFormatting>
  <conditionalFormatting sqref="OTH102">
    <cfRule type="duplicateValues" dxfId="0" priority="914"/>
  </conditionalFormatting>
  <conditionalFormatting sqref="OTO102">
    <cfRule type="duplicateValues" dxfId="0" priority="913"/>
  </conditionalFormatting>
  <conditionalFormatting sqref="OTV102">
    <cfRule type="duplicateValues" dxfId="0" priority="912"/>
  </conditionalFormatting>
  <conditionalFormatting sqref="OUC102">
    <cfRule type="duplicateValues" dxfId="0" priority="911"/>
  </conditionalFormatting>
  <conditionalFormatting sqref="OUJ102">
    <cfRule type="duplicateValues" dxfId="0" priority="910"/>
  </conditionalFormatting>
  <conditionalFormatting sqref="OUQ102">
    <cfRule type="duplicateValues" dxfId="0" priority="909"/>
  </conditionalFormatting>
  <conditionalFormatting sqref="OUX102">
    <cfRule type="duplicateValues" dxfId="0" priority="908"/>
  </conditionalFormatting>
  <conditionalFormatting sqref="OVE102">
    <cfRule type="duplicateValues" dxfId="0" priority="907"/>
  </conditionalFormatting>
  <conditionalFormatting sqref="OVL102">
    <cfRule type="duplicateValues" dxfId="0" priority="906"/>
  </conditionalFormatting>
  <conditionalFormatting sqref="OVS102">
    <cfRule type="duplicateValues" dxfId="0" priority="905"/>
  </conditionalFormatting>
  <conditionalFormatting sqref="OVZ102">
    <cfRule type="duplicateValues" dxfId="0" priority="904"/>
  </conditionalFormatting>
  <conditionalFormatting sqref="OWG102">
    <cfRule type="duplicateValues" dxfId="0" priority="903"/>
  </conditionalFormatting>
  <conditionalFormatting sqref="OWN102">
    <cfRule type="duplicateValues" dxfId="0" priority="902"/>
  </conditionalFormatting>
  <conditionalFormatting sqref="OWU102">
    <cfRule type="duplicateValues" dxfId="0" priority="901"/>
  </conditionalFormatting>
  <conditionalFormatting sqref="OXB102">
    <cfRule type="duplicateValues" dxfId="0" priority="900"/>
  </conditionalFormatting>
  <conditionalFormatting sqref="OXI102">
    <cfRule type="duplicateValues" dxfId="0" priority="899"/>
  </conditionalFormatting>
  <conditionalFormatting sqref="OXP102">
    <cfRule type="duplicateValues" dxfId="0" priority="898"/>
  </conditionalFormatting>
  <conditionalFormatting sqref="OXW102">
    <cfRule type="duplicateValues" dxfId="0" priority="897"/>
  </conditionalFormatting>
  <conditionalFormatting sqref="OYD102">
    <cfRule type="duplicateValues" dxfId="0" priority="896"/>
  </conditionalFormatting>
  <conditionalFormatting sqref="OYK102">
    <cfRule type="duplicateValues" dxfId="0" priority="895"/>
  </conditionalFormatting>
  <conditionalFormatting sqref="OYR102">
    <cfRule type="duplicateValues" dxfId="0" priority="894"/>
  </conditionalFormatting>
  <conditionalFormatting sqref="OYY102">
    <cfRule type="duplicateValues" dxfId="0" priority="893"/>
  </conditionalFormatting>
  <conditionalFormatting sqref="OZF102">
    <cfRule type="duplicateValues" dxfId="0" priority="892"/>
  </conditionalFormatting>
  <conditionalFormatting sqref="OZM102">
    <cfRule type="duplicateValues" dxfId="0" priority="891"/>
  </conditionalFormatting>
  <conditionalFormatting sqref="OZT102">
    <cfRule type="duplicateValues" dxfId="0" priority="890"/>
  </conditionalFormatting>
  <conditionalFormatting sqref="PAA102">
    <cfRule type="duplicateValues" dxfId="0" priority="889"/>
  </conditionalFormatting>
  <conditionalFormatting sqref="PAH102">
    <cfRule type="duplicateValues" dxfId="0" priority="888"/>
  </conditionalFormatting>
  <conditionalFormatting sqref="PAO102">
    <cfRule type="duplicateValues" dxfId="0" priority="887"/>
  </conditionalFormatting>
  <conditionalFormatting sqref="PAV102">
    <cfRule type="duplicateValues" dxfId="0" priority="886"/>
  </conditionalFormatting>
  <conditionalFormatting sqref="PBC102">
    <cfRule type="duplicateValues" dxfId="0" priority="885"/>
  </conditionalFormatting>
  <conditionalFormatting sqref="PBJ102">
    <cfRule type="duplicateValues" dxfId="0" priority="884"/>
  </conditionalFormatting>
  <conditionalFormatting sqref="PBQ102">
    <cfRule type="duplicateValues" dxfId="0" priority="883"/>
  </conditionalFormatting>
  <conditionalFormatting sqref="PBX102">
    <cfRule type="duplicateValues" dxfId="0" priority="882"/>
  </conditionalFormatting>
  <conditionalFormatting sqref="PCE102">
    <cfRule type="duplicateValues" dxfId="0" priority="881"/>
  </conditionalFormatting>
  <conditionalFormatting sqref="PCL102">
    <cfRule type="duplicateValues" dxfId="0" priority="880"/>
  </conditionalFormatting>
  <conditionalFormatting sqref="PCS102">
    <cfRule type="duplicateValues" dxfId="0" priority="879"/>
  </conditionalFormatting>
  <conditionalFormatting sqref="PCZ102">
    <cfRule type="duplicateValues" dxfId="0" priority="878"/>
  </conditionalFormatting>
  <conditionalFormatting sqref="PDG102">
    <cfRule type="duplicateValues" dxfId="0" priority="877"/>
  </conditionalFormatting>
  <conditionalFormatting sqref="PDN102">
    <cfRule type="duplicateValues" dxfId="0" priority="876"/>
  </conditionalFormatting>
  <conditionalFormatting sqref="PDU102">
    <cfRule type="duplicateValues" dxfId="0" priority="875"/>
  </conditionalFormatting>
  <conditionalFormatting sqref="PEB102">
    <cfRule type="duplicateValues" dxfId="0" priority="874"/>
  </conditionalFormatting>
  <conditionalFormatting sqref="PEI102">
    <cfRule type="duplicateValues" dxfId="0" priority="873"/>
  </conditionalFormatting>
  <conditionalFormatting sqref="PEP102">
    <cfRule type="duplicateValues" dxfId="0" priority="872"/>
  </conditionalFormatting>
  <conditionalFormatting sqref="PEW102">
    <cfRule type="duplicateValues" dxfId="0" priority="871"/>
  </conditionalFormatting>
  <conditionalFormatting sqref="PFD102">
    <cfRule type="duplicateValues" dxfId="0" priority="870"/>
  </conditionalFormatting>
  <conditionalFormatting sqref="PFK102">
    <cfRule type="duplicateValues" dxfId="0" priority="869"/>
  </conditionalFormatting>
  <conditionalFormatting sqref="PFR102">
    <cfRule type="duplicateValues" dxfId="0" priority="868"/>
  </conditionalFormatting>
  <conditionalFormatting sqref="PFY102">
    <cfRule type="duplicateValues" dxfId="0" priority="867"/>
  </conditionalFormatting>
  <conditionalFormatting sqref="PGF102">
    <cfRule type="duplicateValues" dxfId="0" priority="866"/>
  </conditionalFormatting>
  <conditionalFormatting sqref="PGM102">
    <cfRule type="duplicateValues" dxfId="0" priority="865"/>
  </conditionalFormatting>
  <conditionalFormatting sqref="PGT102">
    <cfRule type="duplicateValues" dxfId="0" priority="864"/>
  </conditionalFormatting>
  <conditionalFormatting sqref="PHA102">
    <cfRule type="duplicateValues" dxfId="0" priority="863"/>
  </conditionalFormatting>
  <conditionalFormatting sqref="PHH102">
    <cfRule type="duplicateValues" dxfId="0" priority="862"/>
  </conditionalFormatting>
  <conditionalFormatting sqref="PHO102">
    <cfRule type="duplicateValues" dxfId="0" priority="861"/>
  </conditionalFormatting>
  <conditionalFormatting sqref="PHV102">
    <cfRule type="duplicateValues" dxfId="0" priority="860"/>
  </conditionalFormatting>
  <conditionalFormatting sqref="PIC102">
    <cfRule type="duplicateValues" dxfId="0" priority="859"/>
  </conditionalFormatting>
  <conditionalFormatting sqref="PIJ102">
    <cfRule type="duplicateValues" dxfId="0" priority="858"/>
  </conditionalFormatting>
  <conditionalFormatting sqref="PIQ102">
    <cfRule type="duplicateValues" dxfId="0" priority="857"/>
  </conditionalFormatting>
  <conditionalFormatting sqref="PIX102">
    <cfRule type="duplicateValues" dxfId="0" priority="856"/>
  </conditionalFormatting>
  <conditionalFormatting sqref="PJE102">
    <cfRule type="duplicateValues" dxfId="0" priority="855"/>
  </conditionalFormatting>
  <conditionalFormatting sqref="PJL102">
    <cfRule type="duplicateValues" dxfId="0" priority="854"/>
  </conditionalFormatting>
  <conditionalFormatting sqref="PJS102">
    <cfRule type="duplicateValues" dxfId="0" priority="853"/>
  </conditionalFormatting>
  <conditionalFormatting sqref="PJZ102">
    <cfRule type="duplicateValues" dxfId="0" priority="852"/>
  </conditionalFormatting>
  <conditionalFormatting sqref="PKG102">
    <cfRule type="duplicateValues" dxfId="0" priority="851"/>
  </conditionalFormatting>
  <conditionalFormatting sqref="PKN102">
    <cfRule type="duplicateValues" dxfId="0" priority="850"/>
  </conditionalFormatting>
  <conditionalFormatting sqref="PKU102">
    <cfRule type="duplicateValues" dxfId="0" priority="849"/>
  </conditionalFormatting>
  <conditionalFormatting sqref="PLB102">
    <cfRule type="duplicateValues" dxfId="0" priority="848"/>
  </conditionalFormatting>
  <conditionalFormatting sqref="PLI102">
    <cfRule type="duplicateValues" dxfId="0" priority="847"/>
  </conditionalFormatting>
  <conditionalFormatting sqref="PLP102">
    <cfRule type="duplicateValues" dxfId="0" priority="846"/>
  </conditionalFormatting>
  <conditionalFormatting sqref="PLW102">
    <cfRule type="duplicateValues" dxfId="0" priority="845"/>
  </conditionalFormatting>
  <conditionalFormatting sqref="PMD102">
    <cfRule type="duplicateValues" dxfId="0" priority="844"/>
  </conditionalFormatting>
  <conditionalFormatting sqref="PMK102">
    <cfRule type="duplicateValues" dxfId="0" priority="843"/>
  </conditionalFormatting>
  <conditionalFormatting sqref="PMR102">
    <cfRule type="duplicateValues" dxfId="0" priority="842"/>
  </conditionalFormatting>
  <conditionalFormatting sqref="PMY102">
    <cfRule type="duplicateValues" dxfId="0" priority="841"/>
  </conditionalFormatting>
  <conditionalFormatting sqref="PNF102">
    <cfRule type="duplicateValues" dxfId="0" priority="840"/>
  </conditionalFormatting>
  <conditionalFormatting sqref="PNM102">
    <cfRule type="duplicateValues" dxfId="0" priority="839"/>
  </conditionalFormatting>
  <conditionalFormatting sqref="PNT102">
    <cfRule type="duplicateValues" dxfId="0" priority="838"/>
  </conditionalFormatting>
  <conditionalFormatting sqref="POA102">
    <cfRule type="duplicateValues" dxfId="0" priority="837"/>
  </conditionalFormatting>
  <conditionalFormatting sqref="POH102">
    <cfRule type="duplicateValues" dxfId="0" priority="836"/>
  </conditionalFormatting>
  <conditionalFormatting sqref="POO102">
    <cfRule type="duplicateValues" dxfId="0" priority="835"/>
  </conditionalFormatting>
  <conditionalFormatting sqref="POV102">
    <cfRule type="duplicateValues" dxfId="0" priority="834"/>
  </conditionalFormatting>
  <conditionalFormatting sqref="PPC102">
    <cfRule type="duplicateValues" dxfId="0" priority="833"/>
  </conditionalFormatting>
  <conditionalFormatting sqref="PPJ102">
    <cfRule type="duplicateValues" dxfId="0" priority="832"/>
  </conditionalFormatting>
  <conditionalFormatting sqref="PPQ102">
    <cfRule type="duplicateValues" dxfId="0" priority="831"/>
  </conditionalFormatting>
  <conditionalFormatting sqref="PPX102">
    <cfRule type="duplicateValues" dxfId="0" priority="830"/>
  </conditionalFormatting>
  <conditionalFormatting sqref="PQE102">
    <cfRule type="duplicateValues" dxfId="0" priority="829"/>
  </conditionalFormatting>
  <conditionalFormatting sqref="PQL102">
    <cfRule type="duplicateValues" dxfId="0" priority="828"/>
  </conditionalFormatting>
  <conditionalFormatting sqref="PQS102">
    <cfRule type="duplicateValues" dxfId="0" priority="827"/>
  </conditionalFormatting>
  <conditionalFormatting sqref="PQZ102">
    <cfRule type="duplicateValues" dxfId="0" priority="826"/>
  </conditionalFormatting>
  <conditionalFormatting sqref="PRG102">
    <cfRule type="duplicateValues" dxfId="0" priority="825"/>
  </conditionalFormatting>
  <conditionalFormatting sqref="PRN102">
    <cfRule type="duplicateValues" dxfId="0" priority="824"/>
  </conditionalFormatting>
  <conditionalFormatting sqref="PRU102">
    <cfRule type="duplicateValues" dxfId="0" priority="823"/>
  </conditionalFormatting>
  <conditionalFormatting sqref="PSB102">
    <cfRule type="duplicateValues" dxfId="0" priority="822"/>
  </conditionalFormatting>
  <conditionalFormatting sqref="PSI102">
    <cfRule type="duplicateValues" dxfId="0" priority="821"/>
  </conditionalFormatting>
  <conditionalFormatting sqref="PSP102">
    <cfRule type="duplicateValues" dxfId="0" priority="820"/>
  </conditionalFormatting>
  <conditionalFormatting sqref="PSW102">
    <cfRule type="duplicateValues" dxfId="0" priority="819"/>
  </conditionalFormatting>
  <conditionalFormatting sqref="PTD102">
    <cfRule type="duplicateValues" dxfId="0" priority="818"/>
  </conditionalFormatting>
  <conditionalFormatting sqref="PTK102">
    <cfRule type="duplicateValues" dxfId="0" priority="817"/>
  </conditionalFormatting>
  <conditionalFormatting sqref="PTR102">
    <cfRule type="duplicateValues" dxfId="0" priority="816"/>
  </conditionalFormatting>
  <conditionalFormatting sqref="PTY102">
    <cfRule type="duplicateValues" dxfId="0" priority="815"/>
  </conditionalFormatting>
  <conditionalFormatting sqref="PUF102">
    <cfRule type="duplicateValues" dxfId="0" priority="814"/>
  </conditionalFormatting>
  <conditionalFormatting sqref="PUM102">
    <cfRule type="duplicateValues" dxfId="0" priority="813"/>
  </conditionalFormatting>
  <conditionalFormatting sqref="PUT102">
    <cfRule type="duplicateValues" dxfId="0" priority="812"/>
  </conditionalFormatting>
  <conditionalFormatting sqref="PVA102">
    <cfRule type="duplicateValues" dxfId="0" priority="811"/>
  </conditionalFormatting>
  <conditionalFormatting sqref="PVH102">
    <cfRule type="duplicateValues" dxfId="0" priority="810"/>
  </conditionalFormatting>
  <conditionalFormatting sqref="PVO102">
    <cfRule type="duplicateValues" dxfId="0" priority="809"/>
  </conditionalFormatting>
  <conditionalFormatting sqref="PVV102">
    <cfRule type="duplicateValues" dxfId="0" priority="808"/>
  </conditionalFormatting>
  <conditionalFormatting sqref="PWC102">
    <cfRule type="duplicateValues" dxfId="0" priority="807"/>
  </conditionalFormatting>
  <conditionalFormatting sqref="PWJ102">
    <cfRule type="duplicateValues" dxfId="0" priority="806"/>
  </conditionalFormatting>
  <conditionalFormatting sqref="PWQ102">
    <cfRule type="duplicateValues" dxfId="0" priority="805"/>
  </conditionalFormatting>
  <conditionalFormatting sqref="PWX102">
    <cfRule type="duplicateValues" dxfId="0" priority="804"/>
  </conditionalFormatting>
  <conditionalFormatting sqref="PXE102">
    <cfRule type="duplicateValues" dxfId="0" priority="803"/>
  </conditionalFormatting>
  <conditionalFormatting sqref="PXL102">
    <cfRule type="duplicateValues" dxfId="0" priority="802"/>
  </conditionalFormatting>
  <conditionalFormatting sqref="PXS102">
    <cfRule type="duplicateValues" dxfId="0" priority="801"/>
  </conditionalFormatting>
  <conditionalFormatting sqref="PXZ102">
    <cfRule type="duplicateValues" dxfId="0" priority="800"/>
  </conditionalFormatting>
  <conditionalFormatting sqref="PYG102">
    <cfRule type="duplicateValues" dxfId="0" priority="799"/>
  </conditionalFormatting>
  <conditionalFormatting sqref="PYN102">
    <cfRule type="duplicateValues" dxfId="0" priority="798"/>
  </conditionalFormatting>
  <conditionalFormatting sqref="PYU102">
    <cfRule type="duplicateValues" dxfId="0" priority="797"/>
  </conditionalFormatting>
  <conditionalFormatting sqref="PZB102">
    <cfRule type="duplicateValues" dxfId="0" priority="796"/>
  </conditionalFormatting>
  <conditionalFormatting sqref="PZI102">
    <cfRule type="duplicateValues" dxfId="0" priority="795"/>
  </conditionalFormatting>
  <conditionalFormatting sqref="PZP102">
    <cfRule type="duplicateValues" dxfId="0" priority="794"/>
  </conditionalFormatting>
  <conditionalFormatting sqref="PZW102">
    <cfRule type="duplicateValues" dxfId="0" priority="793"/>
  </conditionalFormatting>
  <conditionalFormatting sqref="QAD102">
    <cfRule type="duplicateValues" dxfId="0" priority="792"/>
  </conditionalFormatting>
  <conditionalFormatting sqref="QAK102">
    <cfRule type="duplicateValues" dxfId="0" priority="791"/>
  </conditionalFormatting>
  <conditionalFormatting sqref="QAR102">
    <cfRule type="duplicateValues" dxfId="0" priority="790"/>
  </conditionalFormatting>
  <conditionalFormatting sqref="QAY102">
    <cfRule type="duplicateValues" dxfId="0" priority="789"/>
  </conditionalFormatting>
  <conditionalFormatting sqref="QBF102">
    <cfRule type="duplicateValues" dxfId="0" priority="788"/>
  </conditionalFormatting>
  <conditionalFormatting sqref="QBM102">
    <cfRule type="duplicateValues" dxfId="0" priority="787"/>
  </conditionalFormatting>
  <conditionalFormatting sqref="QBT102">
    <cfRule type="duplicateValues" dxfId="0" priority="786"/>
  </conditionalFormatting>
  <conditionalFormatting sqref="QCA102">
    <cfRule type="duplicateValues" dxfId="0" priority="785"/>
  </conditionalFormatting>
  <conditionalFormatting sqref="QCH102">
    <cfRule type="duplicateValues" dxfId="0" priority="784"/>
  </conditionalFormatting>
  <conditionalFormatting sqref="QCO102">
    <cfRule type="duplicateValues" dxfId="0" priority="783"/>
  </conditionalFormatting>
  <conditionalFormatting sqref="QCV102">
    <cfRule type="duplicateValues" dxfId="0" priority="782"/>
  </conditionalFormatting>
  <conditionalFormatting sqref="QDC102">
    <cfRule type="duplicateValues" dxfId="0" priority="781"/>
  </conditionalFormatting>
  <conditionalFormatting sqref="QDJ102">
    <cfRule type="duplicateValues" dxfId="0" priority="780"/>
  </conditionalFormatting>
  <conditionalFormatting sqref="QDQ102">
    <cfRule type="duplicateValues" dxfId="0" priority="779"/>
  </conditionalFormatting>
  <conditionalFormatting sqref="QDX102">
    <cfRule type="duplicateValues" dxfId="0" priority="778"/>
  </conditionalFormatting>
  <conditionalFormatting sqref="QEE102">
    <cfRule type="duplicateValues" dxfId="0" priority="777"/>
  </conditionalFormatting>
  <conditionalFormatting sqref="QEL102">
    <cfRule type="duplicateValues" dxfId="0" priority="776"/>
  </conditionalFormatting>
  <conditionalFormatting sqref="QES102">
    <cfRule type="duplicateValues" dxfId="0" priority="775"/>
  </conditionalFormatting>
  <conditionalFormatting sqref="QEZ102">
    <cfRule type="duplicateValues" dxfId="0" priority="774"/>
  </conditionalFormatting>
  <conditionalFormatting sqref="QFG102">
    <cfRule type="duplicateValues" dxfId="0" priority="773"/>
  </conditionalFormatting>
  <conditionalFormatting sqref="QFN102">
    <cfRule type="duplicateValues" dxfId="0" priority="772"/>
  </conditionalFormatting>
  <conditionalFormatting sqref="QFU102">
    <cfRule type="duplicateValues" dxfId="0" priority="771"/>
  </conditionalFormatting>
  <conditionalFormatting sqref="QGB102">
    <cfRule type="duplicateValues" dxfId="0" priority="770"/>
  </conditionalFormatting>
  <conditionalFormatting sqref="QGI102">
    <cfRule type="duplicateValues" dxfId="0" priority="769"/>
  </conditionalFormatting>
  <conditionalFormatting sqref="QGP102">
    <cfRule type="duplicateValues" dxfId="0" priority="768"/>
  </conditionalFormatting>
  <conditionalFormatting sqref="QGW102">
    <cfRule type="duplicateValues" dxfId="0" priority="767"/>
  </conditionalFormatting>
  <conditionalFormatting sqref="QHD102">
    <cfRule type="duplicateValues" dxfId="0" priority="766"/>
  </conditionalFormatting>
  <conditionalFormatting sqref="QHK102">
    <cfRule type="duplicateValues" dxfId="0" priority="765"/>
  </conditionalFormatting>
  <conditionalFormatting sqref="QHR102">
    <cfRule type="duplicateValues" dxfId="0" priority="764"/>
  </conditionalFormatting>
  <conditionalFormatting sqref="QHY102">
    <cfRule type="duplicateValues" dxfId="0" priority="763"/>
  </conditionalFormatting>
  <conditionalFormatting sqref="QIF102">
    <cfRule type="duplicateValues" dxfId="0" priority="762"/>
  </conditionalFormatting>
  <conditionalFormatting sqref="QIM102">
    <cfRule type="duplicateValues" dxfId="0" priority="761"/>
  </conditionalFormatting>
  <conditionalFormatting sqref="QIT102">
    <cfRule type="duplicateValues" dxfId="0" priority="760"/>
  </conditionalFormatting>
  <conditionalFormatting sqref="QJA102">
    <cfRule type="duplicateValues" dxfId="0" priority="759"/>
  </conditionalFormatting>
  <conditionalFormatting sqref="QJH102">
    <cfRule type="duplicateValues" dxfId="0" priority="758"/>
  </conditionalFormatting>
  <conditionalFormatting sqref="QJO102">
    <cfRule type="duplicateValues" dxfId="0" priority="757"/>
  </conditionalFormatting>
  <conditionalFormatting sqref="QJV102">
    <cfRule type="duplicateValues" dxfId="0" priority="756"/>
  </conditionalFormatting>
  <conditionalFormatting sqref="QKC102">
    <cfRule type="duplicateValues" dxfId="0" priority="755"/>
  </conditionalFormatting>
  <conditionalFormatting sqref="QKJ102">
    <cfRule type="duplicateValues" dxfId="0" priority="754"/>
  </conditionalFormatting>
  <conditionalFormatting sqref="QKQ102">
    <cfRule type="duplicateValues" dxfId="0" priority="753"/>
  </conditionalFormatting>
  <conditionalFormatting sqref="QKX102">
    <cfRule type="duplicateValues" dxfId="0" priority="752"/>
  </conditionalFormatting>
  <conditionalFormatting sqref="QLE102">
    <cfRule type="duplicateValues" dxfId="0" priority="751"/>
  </conditionalFormatting>
  <conditionalFormatting sqref="QLL102">
    <cfRule type="duplicateValues" dxfId="0" priority="750"/>
  </conditionalFormatting>
  <conditionalFormatting sqref="QLS102">
    <cfRule type="duplicateValues" dxfId="0" priority="749"/>
  </conditionalFormatting>
  <conditionalFormatting sqref="QLZ102">
    <cfRule type="duplicateValues" dxfId="0" priority="748"/>
  </conditionalFormatting>
  <conditionalFormatting sqref="QMG102">
    <cfRule type="duplicateValues" dxfId="0" priority="747"/>
  </conditionalFormatting>
  <conditionalFormatting sqref="QMN102">
    <cfRule type="duplicateValues" dxfId="0" priority="746"/>
  </conditionalFormatting>
  <conditionalFormatting sqref="QMU102">
    <cfRule type="duplicateValues" dxfId="0" priority="745"/>
  </conditionalFormatting>
  <conditionalFormatting sqref="QNB102">
    <cfRule type="duplicateValues" dxfId="0" priority="744"/>
  </conditionalFormatting>
  <conditionalFormatting sqref="QNI102">
    <cfRule type="duplicateValues" dxfId="0" priority="743"/>
  </conditionalFormatting>
  <conditionalFormatting sqref="QNP102">
    <cfRule type="duplicateValues" dxfId="0" priority="742"/>
  </conditionalFormatting>
  <conditionalFormatting sqref="QNW102">
    <cfRule type="duplicateValues" dxfId="0" priority="741"/>
  </conditionalFormatting>
  <conditionalFormatting sqref="QOD102">
    <cfRule type="duplicateValues" dxfId="0" priority="740"/>
  </conditionalFormatting>
  <conditionalFormatting sqref="QOK102">
    <cfRule type="duplicateValues" dxfId="0" priority="739"/>
  </conditionalFormatting>
  <conditionalFormatting sqref="QOR102">
    <cfRule type="duplicateValues" dxfId="0" priority="738"/>
  </conditionalFormatting>
  <conditionalFormatting sqref="QOY102">
    <cfRule type="duplicateValues" dxfId="0" priority="737"/>
  </conditionalFormatting>
  <conditionalFormatting sqref="QPF102">
    <cfRule type="duplicateValues" dxfId="0" priority="736"/>
  </conditionalFormatting>
  <conditionalFormatting sqref="QPM102">
    <cfRule type="duplicateValues" dxfId="0" priority="735"/>
  </conditionalFormatting>
  <conditionalFormatting sqref="QPT102">
    <cfRule type="duplicateValues" dxfId="0" priority="734"/>
  </conditionalFormatting>
  <conditionalFormatting sqref="QQA102">
    <cfRule type="duplicateValues" dxfId="0" priority="733"/>
  </conditionalFormatting>
  <conditionalFormatting sqref="QQH102">
    <cfRule type="duplicateValues" dxfId="0" priority="732"/>
  </conditionalFormatting>
  <conditionalFormatting sqref="QQO102">
    <cfRule type="duplicateValues" dxfId="0" priority="731"/>
  </conditionalFormatting>
  <conditionalFormatting sqref="QQV102">
    <cfRule type="duplicateValues" dxfId="0" priority="730"/>
  </conditionalFormatting>
  <conditionalFormatting sqref="QRC102">
    <cfRule type="duplicateValues" dxfId="0" priority="729"/>
  </conditionalFormatting>
  <conditionalFormatting sqref="QRJ102">
    <cfRule type="duplicateValues" dxfId="0" priority="728"/>
  </conditionalFormatting>
  <conditionalFormatting sqref="QRQ102">
    <cfRule type="duplicateValues" dxfId="0" priority="727"/>
  </conditionalFormatting>
  <conditionalFormatting sqref="QRX102">
    <cfRule type="duplicateValues" dxfId="0" priority="726"/>
  </conditionalFormatting>
  <conditionalFormatting sqref="QSE102">
    <cfRule type="duplicateValues" dxfId="0" priority="725"/>
  </conditionalFormatting>
  <conditionalFormatting sqref="QSL102">
    <cfRule type="duplicateValues" dxfId="0" priority="724"/>
  </conditionalFormatting>
  <conditionalFormatting sqref="QSS102">
    <cfRule type="duplicateValues" dxfId="0" priority="723"/>
  </conditionalFormatting>
  <conditionalFormatting sqref="QSZ102">
    <cfRule type="duplicateValues" dxfId="0" priority="722"/>
  </conditionalFormatting>
  <conditionalFormatting sqref="QTG102">
    <cfRule type="duplicateValues" dxfId="0" priority="721"/>
  </conditionalFormatting>
  <conditionalFormatting sqref="QTN102">
    <cfRule type="duplicateValues" dxfId="0" priority="720"/>
  </conditionalFormatting>
  <conditionalFormatting sqref="QTU102">
    <cfRule type="duplicateValues" dxfId="0" priority="719"/>
  </conditionalFormatting>
  <conditionalFormatting sqref="QUB102">
    <cfRule type="duplicateValues" dxfId="0" priority="718"/>
  </conditionalFormatting>
  <conditionalFormatting sqref="QUI102">
    <cfRule type="duplicateValues" dxfId="0" priority="717"/>
  </conditionalFormatting>
  <conditionalFormatting sqref="QUP102">
    <cfRule type="duplicateValues" dxfId="0" priority="716"/>
  </conditionalFormatting>
  <conditionalFormatting sqref="QUW102">
    <cfRule type="duplicateValues" dxfId="0" priority="715"/>
  </conditionalFormatting>
  <conditionalFormatting sqref="QVD102">
    <cfRule type="duplicateValues" dxfId="0" priority="714"/>
  </conditionalFormatting>
  <conditionalFormatting sqref="QVK102">
    <cfRule type="duplicateValues" dxfId="0" priority="713"/>
  </conditionalFormatting>
  <conditionalFormatting sqref="QVR102">
    <cfRule type="duplicateValues" dxfId="0" priority="712"/>
  </conditionalFormatting>
  <conditionalFormatting sqref="QVY102">
    <cfRule type="duplicateValues" dxfId="0" priority="711"/>
  </conditionalFormatting>
  <conditionalFormatting sqref="QWF102">
    <cfRule type="duplicateValues" dxfId="0" priority="710"/>
  </conditionalFormatting>
  <conditionalFormatting sqref="QWM102">
    <cfRule type="duplicateValues" dxfId="0" priority="709"/>
  </conditionalFormatting>
  <conditionalFormatting sqref="QWT102">
    <cfRule type="duplicateValues" dxfId="0" priority="708"/>
  </conditionalFormatting>
  <conditionalFormatting sqref="QXA102">
    <cfRule type="duplicateValues" dxfId="0" priority="707"/>
  </conditionalFormatting>
  <conditionalFormatting sqref="QXH102">
    <cfRule type="duplicateValues" dxfId="0" priority="706"/>
  </conditionalFormatting>
  <conditionalFormatting sqref="QXO102">
    <cfRule type="duplicateValues" dxfId="0" priority="705"/>
  </conditionalFormatting>
  <conditionalFormatting sqref="QXV102">
    <cfRule type="duplicateValues" dxfId="0" priority="704"/>
  </conditionalFormatting>
  <conditionalFormatting sqref="QYC102">
    <cfRule type="duplicateValues" dxfId="0" priority="703"/>
  </conditionalFormatting>
  <conditionalFormatting sqref="QYJ102">
    <cfRule type="duplicateValues" dxfId="0" priority="702"/>
  </conditionalFormatting>
  <conditionalFormatting sqref="QYQ102">
    <cfRule type="duplicateValues" dxfId="0" priority="701"/>
  </conditionalFormatting>
  <conditionalFormatting sqref="QYX102">
    <cfRule type="duplicateValues" dxfId="0" priority="700"/>
  </conditionalFormatting>
  <conditionalFormatting sqref="QZE102">
    <cfRule type="duplicateValues" dxfId="0" priority="699"/>
  </conditionalFormatting>
  <conditionalFormatting sqref="QZL102">
    <cfRule type="duplicateValues" dxfId="0" priority="698"/>
  </conditionalFormatting>
  <conditionalFormatting sqref="QZS102">
    <cfRule type="duplicateValues" dxfId="0" priority="697"/>
  </conditionalFormatting>
  <conditionalFormatting sqref="QZZ102">
    <cfRule type="duplicateValues" dxfId="0" priority="696"/>
  </conditionalFormatting>
  <conditionalFormatting sqref="RAG102">
    <cfRule type="duplicateValues" dxfId="0" priority="695"/>
  </conditionalFormatting>
  <conditionalFormatting sqref="RAN102">
    <cfRule type="duplicateValues" dxfId="0" priority="694"/>
  </conditionalFormatting>
  <conditionalFormatting sqref="RAU102">
    <cfRule type="duplicateValues" dxfId="0" priority="693"/>
  </conditionalFormatting>
  <conditionalFormatting sqref="RBB102">
    <cfRule type="duplicateValues" dxfId="0" priority="692"/>
  </conditionalFormatting>
  <conditionalFormatting sqref="RBI102">
    <cfRule type="duplicateValues" dxfId="0" priority="691"/>
  </conditionalFormatting>
  <conditionalFormatting sqref="RBP102">
    <cfRule type="duplicateValues" dxfId="0" priority="690"/>
  </conditionalFormatting>
  <conditionalFormatting sqref="RBW102">
    <cfRule type="duplicateValues" dxfId="0" priority="689"/>
  </conditionalFormatting>
  <conditionalFormatting sqref="RCD102">
    <cfRule type="duplicateValues" dxfId="0" priority="688"/>
  </conditionalFormatting>
  <conditionalFormatting sqref="RCK102">
    <cfRule type="duplicateValues" dxfId="0" priority="687"/>
  </conditionalFormatting>
  <conditionalFormatting sqref="RCR102">
    <cfRule type="duplicateValues" dxfId="0" priority="686"/>
  </conditionalFormatting>
  <conditionalFormatting sqref="RCY102">
    <cfRule type="duplicateValues" dxfId="0" priority="685"/>
  </conditionalFormatting>
  <conditionalFormatting sqref="RDF102">
    <cfRule type="duplicateValues" dxfId="0" priority="684"/>
  </conditionalFormatting>
  <conditionalFormatting sqref="RDM102">
    <cfRule type="duplicateValues" dxfId="0" priority="683"/>
  </conditionalFormatting>
  <conditionalFormatting sqref="RDT102">
    <cfRule type="duplicateValues" dxfId="0" priority="682"/>
  </conditionalFormatting>
  <conditionalFormatting sqref="REA102">
    <cfRule type="duplicateValues" dxfId="0" priority="681"/>
  </conditionalFormatting>
  <conditionalFormatting sqref="REH102">
    <cfRule type="duplicateValues" dxfId="0" priority="680"/>
  </conditionalFormatting>
  <conditionalFormatting sqref="REO102">
    <cfRule type="duplicateValues" dxfId="0" priority="679"/>
  </conditionalFormatting>
  <conditionalFormatting sqref="REV102">
    <cfRule type="duplicateValues" dxfId="0" priority="678"/>
  </conditionalFormatting>
  <conditionalFormatting sqref="RFC102">
    <cfRule type="duplicateValues" dxfId="0" priority="677"/>
  </conditionalFormatting>
  <conditionalFormatting sqref="RFJ102">
    <cfRule type="duplicateValues" dxfId="0" priority="676"/>
  </conditionalFormatting>
  <conditionalFormatting sqref="RFQ102">
    <cfRule type="duplicateValues" dxfId="0" priority="675"/>
  </conditionalFormatting>
  <conditionalFormatting sqref="RFX102">
    <cfRule type="duplicateValues" dxfId="0" priority="674"/>
  </conditionalFormatting>
  <conditionalFormatting sqref="RGE102">
    <cfRule type="duplicateValues" dxfId="0" priority="673"/>
  </conditionalFormatting>
  <conditionalFormatting sqref="RGL102">
    <cfRule type="duplicateValues" dxfId="0" priority="672"/>
  </conditionalFormatting>
  <conditionalFormatting sqref="RGS102">
    <cfRule type="duplicateValues" dxfId="0" priority="671"/>
  </conditionalFormatting>
  <conditionalFormatting sqref="RGZ102">
    <cfRule type="duplicateValues" dxfId="0" priority="670"/>
  </conditionalFormatting>
  <conditionalFormatting sqref="RHG102">
    <cfRule type="duplicateValues" dxfId="0" priority="669"/>
  </conditionalFormatting>
  <conditionalFormatting sqref="RHN102">
    <cfRule type="duplicateValues" dxfId="0" priority="668"/>
  </conditionalFormatting>
  <conditionalFormatting sqref="RHU102">
    <cfRule type="duplicateValues" dxfId="0" priority="667"/>
  </conditionalFormatting>
  <conditionalFormatting sqref="RIB102">
    <cfRule type="duplicateValues" dxfId="0" priority="666"/>
  </conditionalFormatting>
  <conditionalFormatting sqref="RII102">
    <cfRule type="duplicateValues" dxfId="0" priority="665"/>
  </conditionalFormatting>
  <conditionalFormatting sqref="RIP102">
    <cfRule type="duplicateValues" dxfId="0" priority="664"/>
  </conditionalFormatting>
  <conditionalFormatting sqref="RIW102">
    <cfRule type="duplicateValues" dxfId="0" priority="663"/>
  </conditionalFormatting>
  <conditionalFormatting sqref="RJD102">
    <cfRule type="duplicateValues" dxfId="0" priority="662"/>
  </conditionalFormatting>
  <conditionalFormatting sqref="RJK102">
    <cfRule type="duplicateValues" dxfId="0" priority="661"/>
  </conditionalFormatting>
  <conditionalFormatting sqref="RJR102">
    <cfRule type="duplicateValues" dxfId="0" priority="660"/>
  </conditionalFormatting>
  <conditionalFormatting sqref="RJY102">
    <cfRule type="duplicateValues" dxfId="0" priority="659"/>
  </conditionalFormatting>
  <conditionalFormatting sqref="RKF102">
    <cfRule type="duplicateValues" dxfId="0" priority="658"/>
  </conditionalFormatting>
  <conditionalFormatting sqref="RKM102">
    <cfRule type="duplicateValues" dxfId="0" priority="657"/>
  </conditionalFormatting>
  <conditionalFormatting sqref="RKT102">
    <cfRule type="duplicateValues" dxfId="0" priority="656"/>
  </conditionalFormatting>
  <conditionalFormatting sqref="RLA102">
    <cfRule type="duplicateValues" dxfId="0" priority="655"/>
  </conditionalFormatting>
  <conditionalFormatting sqref="RLH102">
    <cfRule type="duplicateValues" dxfId="0" priority="654"/>
  </conditionalFormatting>
  <conditionalFormatting sqref="RLO102">
    <cfRule type="duplicateValues" dxfId="0" priority="653"/>
  </conditionalFormatting>
  <conditionalFormatting sqref="RLV102">
    <cfRule type="duplicateValues" dxfId="0" priority="652"/>
  </conditionalFormatting>
  <conditionalFormatting sqref="RMC102">
    <cfRule type="duplicateValues" dxfId="0" priority="651"/>
  </conditionalFormatting>
  <conditionalFormatting sqref="RMJ102">
    <cfRule type="duplicateValues" dxfId="0" priority="650"/>
  </conditionalFormatting>
  <conditionalFormatting sqref="RMQ102">
    <cfRule type="duplicateValues" dxfId="0" priority="649"/>
  </conditionalFormatting>
  <conditionalFormatting sqref="RMX102">
    <cfRule type="duplicateValues" dxfId="0" priority="648"/>
  </conditionalFormatting>
  <conditionalFormatting sqref="RNE102">
    <cfRule type="duplicateValues" dxfId="0" priority="647"/>
  </conditionalFormatting>
  <conditionalFormatting sqref="RNL102">
    <cfRule type="duplicateValues" dxfId="0" priority="646"/>
  </conditionalFormatting>
  <conditionalFormatting sqref="RNS102">
    <cfRule type="duplicateValues" dxfId="0" priority="645"/>
  </conditionalFormatting>
  <conditionalFormatting sqref="RNZ102">
    <cfRule type="duplicateValues" dxfId="0" priority="644"/>
  </conditionalFormatting>
  <conditionalFormatting sqref="ROG102">
    <cfRule type="duplicateValues" dxfId="0" priority="643"/>
  </conditionalFormatting>
  <conditionalFormatting sqref="RON102">
    <cfRule type="duplicateValues" dxfId="0" priority="642"/>
  </conditionalFormatting>
  <conditionalFormatting sqref="ROU102">
    <cfRule type="duplicateValues" dxfId="0" priority="641"/>
  </conditionalFormatting>
  <conditionalFormatting sqref="RPB102">
    <cfRule type="duplicateValues" dxfId="0" priority="640"/>
  </conditionalFormatting>
  <conditionalFormatting sqref="RPI102">
    <cfRule type="duplicateValues" dxfId="0" priority="639"/>
  </conditionalFormatting>
  <conditionalFormatting sqref="RPP102">
    <cfRule type="duplicateValues" dxfId="0" priority="638"/>
  </conditionalFormatting>
  <conditionalFormatting sqref="RPW102">
    <cfRule type="duplicateValues" dxfId="0" priority="637"/>
  </conditionalFormatting>
  <conditionalFormatting sqref="RQD102">
    <cfRule type="duplicateValues" dxfId="0" priority="636"/>
  </conditionalFormatting>
  <conditionalFormatting sqref="RQK102">
    <cfRule type="duplicateValues" dxfId="0" priority="635"/>
  </conditionalFormatting>
  <conditionalFormatting sqref="RQR102">
    <cfRule type="duplicateValues" dxfId="0" priority="634"/>
  </conditionalFormatting>
  <conditionalFormatting sqref="RQY102">
    <cfRule type="duplicateValues" dxfId="0" priority="633"/>
  </conditionalFormatting>
  <conditionalFormatting sqref="RRF102">
    <cfRule type="duplicateValues" dxfId="0" priority="632"/>
  </conditionalFormatting>
  <conditionalFormatting sqref="RRM102">
    <cfRule type="duplicateValues" dxfId="0" priority="631"/>
  </conditionalFormatting>
  <conditionalFormatting sqref="RRT102">
    <cfRule type="duplicateValues" dxfId="0" priority="630"/>
  </conditionalFormatting>
  <conditionalFormatting sqref="RSA102">
    <cfRule type="duplicateValues" dxfId="0" priority="629"/>
  </conditionalFormatting>
  <conditionalFormatting sqref="RSH102">
    <cfRule type="duplicateValues" dxfId="0" priority="628"/>
  </conditionalFormatting>
  <conditionalFormatting sqref="RSO102">
    <cfRule type="duplicateValues" dxfId="0" priority="627"/>
  </conditionalFormatting>
  <conditionalFormatting sqref="RSV102">
    <cfRule type="duplicateValues" dxfId="0" priority="626"/>
  </conditionalFormatting>
  <conditionalFormatting sqref="RTC102">
    <cfRule type="duplicateValues" dxfId="0" priority="625"/>
  </conditionalFormatting>
  <conditionalFormatting sqref="RTJ102">
    <cfRule type="duplicateValues" dxfId="0" priority="624"/>
  </conditionalFormatting>
  <conditionalFormatting sqref="RTQ102">
    <cfRule type="duplicateValues" dxfId="0" priority="623"/>
  </conditionalFormatting>
  <conditionalFormatting sqref="RTX102">
    <cfRule type="duplicateValues" dxfId="0" priority="622"/>
  </conditionalFormatting>
  <conditionalFormatting sqref="RUE102">
    <cfRule type="duplicateValues" dxfId="0" priority="621"/>
  </conditionalFormatting>
  <conditionalFormatting sqref="RUL102">
    <cfRule type="duplicateValues" dxfId="0" priority="620"/>
  </conditionalFormatting>
  <conditionalFormatting sqref="RUS102">
    <cfRule type="duplicateValues" dxfId="0" priority="619"/>
  </conditionalFormatting>
  <conditionalFormatting sqref="RUZ102">
    <cfRule type="duplicateValues" dxfId="0" priority="618"/>
  </conditionalFormatting>
  <conditionalFormatting sqref="RVG102">
    <cfRule type="duplicateValues" dxfId="0" priority="617"/>
  </conditionalFormatting>
  <conditionalFormatting sqref="RVN102">
    <cfRule type="duplicateValues" dxfId="0" priority="616"/>
  </conditionalFormatting>
  <conditionalFormatting sqref="RVU102">
    <cfRule type="duplicateValues" dxfId="0" priority="615"/>
  </conditionalFormatting>
  <conditionalFormatting sqref="RWB102">
    <cfRule type="duplicateValues" dxfId="0" priority="614"/>
  </conditionalFormatting>
  <conditionalFormatting sqref="RWI102">
    <cfRule type="duplicateValues" dxfId="0" priority="613"/>
  </conditionalFormatting>
  <conditionalFormatting sqref="RWP102">
    <cfRule type="duplicateValues" dxfId="0" priority="612"/>
  </conditionalFormatting>
  <conditionalFormatting sqref="RWW102">
    <cfRule type="duplicateValues" dxfId="0" priority="611"/>
  </conditionalFormatting>
  <conditionalFormatting sqref="RXD102">
    <cfRule type="duplicateValues" dxfId="0" priority="610"/>
  </conditionalFormatting>
  <conditionalFormatting sqref="RXK102">
    <cfRule type="duplicateValues" dxfId="0" priority="609"/>
  </conditionalFormatting>
  <conditionalFormatting sqref="RXR102">
    <cfRule type="duplicateValues" dxfId="0" priority="608"/>
  </conditionalFormatting>
  <conditionalFormatting sqref="RXY102">
    <cfRule type="duplicateValues" dxfId="0" priority="607"/>
  </conditionalFormatting>
  <conditionalFormatting sqref="RYF102">
    <cfRule type="duplicateValues" dxfId="0" priority="606"/>
  </conditionalFormatting>
  <conditionalFormatting sqref="RYM102">
    <cfRule type="duplicateValues" dxfId="0" priority="605"/>
  </conditionalFormatting>
  <conditionalFormatting sqref="RYT102">
    <cfRule type="duplicateValues" dxfId="0" priority="604"/>
  </conditionalFormatting>
  <conditionalFormatting sqref="RZA102">
    <cfRule type="duplicateValues" dxfId="0" priority="603"/>
  </conditionalFormatting>
  <conditionalFormatting sqref="RZH102">
    <cfRule type="duplicateValues" dxfId="0" priority="602"/>
  </conditionalFormatting>
  <conditionalFormatting sqref="RZO102">
    <cfRule type="duplicateValues" dxfId="0" priority="601"/>
  </conditionalFormatting>
  <conditionalFormatting sqref="RZV102">
    <cfRule type="duplicateValues" dxfId="0" priority="600"/>
  </conditionalFormatting>
  <conditionalFormatting sqref="SAC102">
    <cfRule type="duplicateValues" dxfId="0" priority="599"/>
  </conditionalFormatting>
  <conditionalFormatting sqref="SAJ102">
    <cfRule type="duplicateValues" dxfId="0" priority="598"/>
  </conditionalFormatting>
  <conditionalFormatting sqref="SAQ102">
    <cfRule type="duplicateValues" dxfId="0" priority="597"/>
  </conditionalFormatting>
  <conditionalFormatting sqref="SAX102">
    <cfRule type="duplicateValues" dxfId="0" priority="596"/>
  </conditionalFormatting>
  <conditionalFormatting sqref="SBE102">
    <cfRule type="duplicateValues" dxfId="0" priority="595"/>
  </conditionalFormatting>
  <conditionalFormatting sqref="SBL102">
    <cfRule type="duplicateValues" dxfId="0" priority="594"/>
  </conditionalFormatting>
  <conditionalFormatting sqref="SBS102">
    <cfRule type="duplicateValues" dxfId="0" priority="593"/>
  </conditionalFormatting>
  <conditionalFormatting sqref="SBZ102">
    <cfRule type="duplicateValues" dxfId="0" priority="592"/>
  </conditionalFormatting>
  <conditionalFormatting sqref="SCG102">
    <cfRule type="duplicateValues" dxfId="0" priority="591"/>
  </conditionalFormatting>
  <conditionalFormatting sqref="SCN102">
    <cfRule type="duplicateValues" dxfId="0" priority="590"/>
  </conditionalFormatting>
  <conditionalFormatting sqref="SCU102">
    <cfRule type="duplicateValues" dxfId="0" priority="589"/>
  </conditionalFormatting>
  <conditionalFormatting sqref="SDB102">
    <cfRule type="duplicateValues" dxfId="0" priority="588"/>
  </conditionalFormatting>
  <conditionalFormatting sqref="SDI102">
    <cfRule type="duplicateValues" dxfId="0" priority="587"/>
  </conditionalFormatting>
  <conditionalFormatting sqref="SDP102">
    <cfRule type="duplicateValues" dxfId="0" priority="586"/>
  </conditionalFormatting>
  <conditionalFormatting sqref="SDW102">
    <cfRule type="duplicateValues" dxfId="0" priority="585"/>
  </conditionalFormatting>
  <conditionalFormatting sqref="SED102">
    <cfRule type="duplicateValues" dxfId="0" priority="584"/>
  </conditionalFormatting>
  <conditionalFormatting sqref="SEK102">
    <cfRule type="duplicateValues" dxfId="0" priority="583"/>
  </conditionalFormatting>
  <conditionalFormatting sqref="SER102">
    <cfRule type="duplicateValues" dxfId="0" priority="582"/>
  </conditionalFormatting>
  <conditionalFormatting sqref="SEY102">
    <cfRule type="duplicateValues" dxfId="0" priority="581"/>
  </conditionalFormatting>
  <conditionalFormatting sqref="SFF102">
    <cfRule type="duplicateValues" dxfId="0" priority="580"/>
  </conditionalFormatting>
  <conditionalFormatting sqref="SFM102">
    <cfRule type="duplicateValues" dxfId="0" priority="579"/>
  </conditionalFormatting>
  <conditionalFormatting sqref="SFT102">
    <cfRule type="duplicateValues" dxfId="0" priority="578"/>
  </conditionalFormatting>
  <conditionalFormatting sqref="SGA102">
    <cfRule type="duplicateValues" dxfId="0" priority="577"/>
  </conditionalFormatting>
  <conditionalFormatting sqref="SGH102">
    <cfRule type="duplicateValues" dxfId="0" priority="576"/>
  </conditionalFormatting>
  <conditionalFormatting sqref="SGO102">
    <cfRule type="duplicateValues" dxfId="0" priority="575"/>
  </conditionalFormatting>
  <conditionalFormatting sqref="SGV102">
    <cfRule type="duplicateValues" dxfId="0" priority="574"/>
  </conditionalFormatting>
  <conditionalFormatting sqref="SHC102">
    <cfRule type="duplicateValues" dxfId="0" priority="573"/>
  </conditionalFormatting>
  <conditionalFormatting sqref="SHJ102">
    <cfRule type="duplicateValues" dxfId="0" priority="572"/>
  </conditionalFormatting>
  <conditionalFormatting sqref="SHQ102">
    <cfRule type="duplicateValues" dxfId="0" priority="571"/>
  </conditionalFormatting>
  <conditionalFormatting sqref="SHX102">
    <cfRule type="duplicateValues" dxfId="0" priority="570"/>
  </conditionalFormatting>
  <conditionalFormatting sqref="SIE102">
    <cfRule type="duplicateValues" dxfId="0" priority="569"/>
  </conditionalFormatting>
  <conditionalFormatting sqref="SIL102">
    <cfRule type="duplicateValues" dxfId="0" priority="568"/>
  </conditionalFormatting>
  <conditionalFormatting sqref="SIS102">
    <cfRule type="duplicateValues" dxfId="0" priority="567"/>
  </conditionalFormatting>
  <conditionalFormatting sqref="SIZ102">
    <cfRule type="duplicateValues" dxfId="0" priority="566"/>
  </conditionalFormatting>
  <conditionalFormatting sqref="SJG102">
    <cfRule type="duplicateValues" dxfId="0" priority="565"/>
  </conditionalFormatting>
  <conditionalFormatting sqref="SJN102">
    <cfRule type="duplicateValues" dxfId="0" priority="564"/>
  </conditionalFormatting>
  <conditionalFormatting sqref="SJU102">
    <cfRule type="duplicateValues" dxfId="0" priority="563"/>
  </conditionalFormatting>
  <conditionalFormatting sqref="SKB102">
    <cfRule type="duplicateValues" dxfId="0" priority="562"/>
  </conditionalFormatting>
  <conditionalFormatting sqref="SKI102">
    <cfRule type="duplicateValues" dxfId="0" priority="561"/>
  </conditionalFormatting>
  <conditionalFormatting sqref="SKP102">
    <cfRule type="duplicateValues" dxfId="0" priority="560"/>
  </conditionalFormatting>
  <conditionalFormatting sqref="SKW102">
    <cfRule type="duplicateValues" dxfId="0" priority="559"/>
  </conditionalFormatting>
  <conditionalFormatting sqref="SLD102">
    <cfRule type="duplicateValues" dxfId="0" priority="558"/>
  </conditionalFormatting>
  <conditionalFormatting sqref="SLK102">
    <cfRule type="duplicateValues" dxfId="0" priority="557"/>
  </conditionalFormatting>
  <conditionalFormatting sqref="SLR102">
    <cfRule type="duplicateValues" dxfId="0" priority="556"/>
  </conditionalFormatting>
  <conditionalFormatting sqref="SLY102">
    <cfRule type="duplicateValues" dxfId="0" priority="555"/>
  </conditionalFormatting>
  <conditionalFormatting sqref="SMF102">
    <cfRule type="duplicateValues" dxfId="0" priority="554"/>
  </conditionalFormatting>
  <conditionalFormatting sqref="SMM102">
    <cfRule type="duplicateValues" dxfId="0" priority="553"/>
  </conditionalFormatting>
  <conditionalFormatting sqref="SMT102">
    <cfRule type="duplicateValues" dxfId="0" priority="552"/>
  </conditionalFormatting>
  <conditionalFormatting sqref="SNA102">
    <cfRule type="duplicateValues" dxfId="0" priority="551"/>
  </conditionalFormatting>
  <conditionalFormatting sqref="SNH102">
    <cfRule type="duplicateValues" dxfId="0" priority="550"/>
  </conditionalFormatting>
  <conditionalFormatting sqref="SNO102">
    <cfRule type="duplicateValues" dxfId="0" priority="549"/>
  </conditionalFormatting>
  <conditionalFormatting sqref="SNV102">
    <cfRule type="duplicateValues" dxfId="0" priority="548"/>
  </conditionalFormatting>
  <conditionalFormatting sqref="SOC102">
    <cfRule type="duplicateValues" dxfId="0" priority="547"/>
  </conditionalFormatting>
  <conditionalFormatting sqref="SOJ102">
    <cfRule type="duplicateValues" dxfId="0" priority="546"/>
  </conditionalFormatting>
  <conditionalFormatting sqref="SOQ102">
    <cfRule type="duplicateValues" dxfId="0" priority="545"/>
  </conditionalFormatting>
  <conditionalFormatting sqref="SOX102">
    <cfRule type="duplicateValues" dxfId="0" priority="544"/>
  </conditionalFormatting>
  <conditionalFormatting sqref="SPE102">
    <cfRule type="duplicateValues" dxfId="0" priority="543"/>
  </conditionalFormatting>
  <conditionalFormatting sqref="SPL102">
    <cfRule type="duplicateValues" dxfId="0" priority="542"/>
  </conditionalFormatting>
  <conditionalFormatting sqref="SPS102">
    <cfRule type="duplicateValues" dxfId="0" priority="541"/>
  </conditionalFormatting>
  <conditionalFormatting sqref="SPZ102">
    <cfRule type="duplicateValues" dxfId="0" priority="540"/>
  </conditionalFormatting>
  <conditionalFormatting sqref="SQG102">
    <cfRule type="duplicateValues" dxfId="0" priority="539"/>
  </conditionalFormatting>
  <conditionalFormatting sqref="SQN102">
    <cfRule type="duplicateValues" dxfId="0" priority="538"/>
  </conditionalFormatting>
  <conditionalFormatting sqref="SQU102">
    <cfRule type="duplicateValues" dxfId="0" priority="537"/>
  </conditionalFormatting>
  <conditionalFormatting sqref="SRB102">
    <cfRule type="duplicateValues" dxfId="0" priority="536"/>
  </conditionalFormatting>
  <conditionalFormatting sqref="SRI102">
    <cfRule type="duplicateValues" dxfId="0" priority="535"/>
  </conditionalFormatting>
  <conditionalFormatting sqref="SRP102">
    <cfRule type="duplicateValues" dxfId="0" priority="534"/>
  </conditionalFormatting>
  <conditionalFormatting sqref="SRW102">
    <cfRule type="duplicateValues" dxfId="0" priority="533"/>
  </conditionalFormatting>
  <conditionalFormatting sqref="SSD102">
    <cfRule type="duplicateValues" dxfId="0" priority="532"/>
  </conditionalFormatting>
  <conditionalFormatting sqref="SSK102">
    <cfRule type="duplicateValues" dxfId="0" priority="531"/>
  </conditionalFormatting>
  <conditionalFormatting sqref="SSR102">
    <cfRule type="duplicateValues" dxfId="0" priority="530"/>
  </conditionalFormatting>
  <conditionalFormatting sqref="SSY102">
    <cfRule type="duplicateValues" dxfId="0" priority="529"/>
  </conditionalFormatting>
  <conditionalFormatting sqref="STF102">
    <cfRule type="duplicateValues" dxfId="0" priority="528"/>
  </conditionalFormatting>
  <conditionalFormatting sqref="STM102">
    <cfRule type="duplicateValues" dxfId="0" priority="527"/>
  </conditionalFormatting>
  <conditionalFormatting sqref="STT102">
    <cfRule type="duplicateValues" dxfId="0" priority="526"/>
  </conditionalFormatting>
  <conditionalFormatting sqref="SUA102">
    <cfRule type="duplicateValues" dxfId="0" priority="525"/>
  </conditionalFormatting>
  <conditionalFormatting sqref="SUH102">
    <cfRule type="duplicateValues" dxfId="0" priority="524"/>
  </conditionalFormatting>
  <conditionalFormatting sqref="SUO102">
    <cfRule type="duplicateValues" dxfId="0" priority="523"/>
  </conditionalFormatting>
  <conditionalFormatting sqref="SUV102">
    <cfRule type="duplicateValues" dxfId="0" priority="522"/>
  </conditionalFormatting>
  <conditionalFormatting sqref="SVC102">
    <cfRule type="duplicateValues" dxfId="0" priority="521"/>
  </conditionalFormatting>
  <conditionalFormatting sqref="SVJ102">
    <cfRule type="duplicateValues" dxfId="0" priority="520"/>
  </conditionalFormatting>
  <conditionalFormatting sqref="SVQ102">
    <cfRule type="duplicateValues" dxfId="0" priority="519"/>
  </conditionalFormatting>
  <conditionalFormatting sqref="SVX102">
    <cfRule type="duplicateValues" dxfId="0" priority="518"/>
  </conditionalFormatting>
  <conditionalFormatting sqref="SWE102">
    <cfRule type="duplicateValues" dxfId="0" priority="517"/>
  </conditionalFormatting>
  <conditionalFormatting sqref="SWL102">
    <cfRule type="duplicateValues" dxfId="0" priority="516"/>
  </conditionalFormatting>
  <conditionalFormatting sqref="SWS102">
    <cfRule type="duplicateValues" dxfId="0" priority="515"/>
  </conditionalFormatting>
  <conditionalFormatting sqref="SWZ102">
    <cfRule type="duplicateValues" dxfId="0" priority="514"/>
  </conditionalFormatting>
  <conditionalFormatting sqref="SXG102">
    <cfRule type="duplicateValues" dxfId="0" priority="513"/>
  </conditionalFormatting>
  <conditionalFormatting sqref="SXN102">
    <cfRule type="duplicateValues" dxfId="0" priority="512"/>
  </conditionalFormatting>
  <conditionalFormatting sqref="SXU102">
    <cfRule type="duplicateValues" dxfId="0" priority="511"/>
  </conditionalFormatting>
  <conditionalFormatting sqref="SYB102">
    <cfRule type="duplicateValues" dxfId="0" priority="510"/>
  </conditionalFormatting>
  <conditionalFormatting sqref="SYI102">
    <cfRule type="duplicateValues" dxfId="0" priority="509"/>
  </conditionalFormatting>
  <conditionalFormatting sqref="SYP102">
    <cfRule type="duplicateValues" dxfId="0" priority="508"/>
  </conditionalFormatting>
  <conditionalFormatting sqref="SYW102">
    <cfRule type="duplicateValues" dxfId="0" priority="507"/>
  </conditionalFormatting>
  <conditionalFormatting sqref="SZD102">
    <cfRule type="duplicateValues" dxfId="0" priority="506"/>
  </conditionalFormatting>
  <conditionalFormatting sqref="SZK102">
    <cfRule type="duplicateValues" dxfId="0" priority="505"/>
  </conditionalFormatting>
  <conditionalFormatting sqref="SZR102">
    <cfRule type="duplicateValues" dxfId="0" priority="504"/>
  </conditionalFormatting>
  <conditionalFormatting sqref="SZY102">
    <cfRule type="duplicateValues" dxfId="0" priority="503"/>
  </conditionalFormatting>
  <conditionalFormatting sqref="TAF102">
    <cfRule type="duplicateValues" dxfId="0" priority="502"/>
  </conditionalFormatting>
  <conditionalFormatting sqref="TAM102">
    <cfRule type="duplicateValues" dxfId="0" priority="501"/>
  </conditionalFormatting>
  <conditionalFormatting sqref="TAT102">
    <cfRule type="duplicateValues" dxfId="0" priority="500"/>
  </conditionalFormatting>
  <conditionalFormatting sqref="TBA102">
    <cfRule type="duplicateValues" dxfId="0" priority="499"/>
  </conditionalFormatting>
  <conditionalFormatting sqref="TBH102">
    <cfRule type="duplicateValues" dxfId="0" priority="498"/>
  </conditionalFormatting>
  <conditionalFormatting sqref="TBO102">
    <cfRule type="duplicateValues" dxfId="0" priority="497"/>
  </conditionalFormatting>
  <conditionalFormatting sqref="TBV102">
    <cfRule type="duplicateValues" dxfId="0" priority="496"/>
  </conditionalFormatting>
  <conditionalFormatting sqref="TCC102">
    <cfRule type="duplicateValues" dxfId="0" priority="495"/>
  </conditionalFormatting>
  <conditionalFormatting sqref="TCJ102">
    <cfRule type="duplicateValues" dxfId="0" priority="494"/>
  </conditionalFormatting>
  <conditionalFormatting sqref="TCQ102">
    <cfRule type="duplicateValues" dxfId="0" priority="493"/>
  </conditionalFormatting>
  <conditionalFormatting sqref="TCX102">
    <cfRule type="duplicateValues" dxfId="0" priority="492"/>
  </conditionalFormatting>
  <conditionalFormatting sqref="TDE102">
    <cfRule type="duplicateValues" dxfId="0" priority="491"/>
  </conditionalFormatting>
  <conditionalFormatting sqref="TDL102">
    <cfRule type="duplicateValues" dxfId="0" priority="490"/>
  </conditionalFormatting>
  <conditionalFormatting sqref="TDS102">
    <cfRule type="duplicateValues" dxfId="0" priority="489"/>
  </conditionalFormatting>
  <conditionalFormatting sqref="TDZ102">
    <cfRule type="duplicateValues" dxfId="0" priority="488"/>
  </conditionalFormatting>
  <conditionalFormatting sqref="TEG102">
    <cfRule type="duplicateValues" dxfId="0" priority="487"/>
  </conditionalFormatting>
  <conditionalFormatting sqref="TEN102">
    <cfRule type="duplicateValues" dxfId="0" priority="486"/>
  </conditionalFormatting>
  <conditionalFormatting sqref="TEU102">
    <cfRule type="duplicateValues" dxfId="0" priority="485"/>
  </conditionalFormatting>
  <conditionalFormatting sqref="TFB102">
    <cfRule type="duplicateValues" dxfId="0" priority="484"/>
  </conditionalFormatting>
  <conditionalFormatting sqref="TFI102">
    <cfRule type="duplicateValues" dxfId="0" priority="483"/>
  </conditionalFormatting>
  <conditionalFormatting sqref="TFP102">
    <cfRule type="duplicateValues" dxfId="0" priority="482"/>
  </conditionalFormatting>
  <conditionalFormatting sqref="TFW102">
    <cfRule type="duplicateValues" dxfId="0" priority="481"/>
  </conditionalFormatting>
  <conditionalFormatting sqref="TGD102">
    <cfRule type="duplicateValues" dxfId="0" priority="480"/>
  </conditionalFormatting>
  <conditionalFormatting sqref="TGK102">
    <cfRule type="duplicateValues" dxfId="0" priority="479"/>
  </conditionalFormatting>
  <conditionalFormatting sqref="TGR102">
    <cfRule type="duplicateValues" dxfId="0" priority="478"/>
  </conditionalFormatting>
  <conditionalFormatting sqref="TGY102">
    <cfRule type="duplicateValues" dxfId="0" priority="477"/>
  </conditionalFormatting>
  <conditionalFormatting sqref="THF102">
    <cfRule type="duplicateValues" dxfId="0" priority="476"/>
  </conditionalFormatting>
  <conditionalFormatting sqref="THM102">
    <cfRule type="duplicateValues" dxfId="0" priority="475"/>
  </conditionalFormatting>
  <conditionalFormatting sqref="THT102">
    <cfRule type="duplicateValues" dxfId="0" priority="474"/>
  </conditionalFormatting>
  <conditionalFormatting sqref="TIA102">
    <cfRule type="duplicateValues" dxfId="0" priority="473"/>
  </conditionalFormatting>
  <conditionalFormatting sqref="TIH102">
    <cfRule type="duplicateValues" dxfId="0" priority="472"/>
  </conditionalFormatting>
  <conditionalFormatting sqref="TIO102">
    <cfRule type="duplicateValues" dxfId="0" priority="471"/>
  </conditionalFormatting>
  <conditionalFormatting sqref="TIV102">
    <cfRule type="duplicateValues" dxfId="0" priority="470"/>
  </conditionalFormatting>
  <conditionalFormatting sqref="TJC102">
    <cfRule type="duplicateValues" dxfId="0" priority="469"/>
  </conditionalFormatting>
  <conditionalFormatting sqref="TJJ102">
    <cfRule type="duplicateValues" dxfId="0" priority="468"/>
  </conditionalFormatting>
  <conditionalFormatting sqref="TJQ102">
    <cfRule type="duplicateValues" dxfId="0" priority="467"/>
  </conditionalFormatting>
  <conditionalFormatting sqref="TJX102">
    <cfRule type="duplicateValues" dxfId="0" priority="466"/>
  </conditionalFormatting>
  <conditionalFormatting sqref="TKE102">
    <cfRule type="duplicateValues" dxfId="0" priority="465"/>
  </conditionalFormatting>
  <conditionalFormatting sqref="TKL102">
    <cfRule type="duplicateValues" dxfId="0" priority="464"/>
  </conditionalFormatting>
  <conditionalFormatting sqref="TKS102">
    <cfRule type="duplicateValues" dxfId="0" priority="463"/>
  </conditionalFormatting>
  <conditionalFormatting sqref="TKZ102">
    <cfRule type="duplicateValues" dxfId="0" priority="462"/>
  </conditionalFormatting>
  <conditionalFormatting sqref="TLG102">
    <cfRule type="duplicateValues" dxfId="0" priority="461"/>
  </conditionalFormatting>
  <conditionalFormatting sqref="TLN102">
    <cfRule type="duplicateValues" dxfId="0" priority="460"/>
  </conditionalFormatting>
  <conditionalFormatting sqref="TLU102">
    <cfRule type="duplicateValues" dxfId="0" priority="459"/>
  </conditionalFormatting>
  <conditionalFormatting sqref="TMB102">
    <cfRule type="duplicateValues" dxfId="0" priority="458"/>
  </conditionalFormatting>
  <conditionalFormatting sqref="TMI102">
    <cfRule type="duplicateValues" dxfId="0" priority="457"/>
  </conditionalFormatting>
  <conditionalFormatting sqref="TMP102">
    <cfRule type="duplicateValues" dxfId="0" priority="456"/>
  </conditionalFormatting>
  <conditionalFormatting sqref="TMW102">
    <cfRule type="duplicateValues" dxfId="0" priority="455"/>
  </conditionalFormatting>
  <conditionalFormatting sqref="TND102">
    <cfRule type="duplicateValues" dxfId="0" priority="454"/>
  </conditionalFormatting>
  <conditionalFormatting sqref="TNK102">
    <cfRule type="duplicateValues" dxfId="0" priority="453"/>
  </conditionalFormatting>
  <conditionalFormatting sqref="TNR102">
    <cfRule type="duplicateValues" dxfId="0" priority="452"/>
  </conditionalFormatting>
  <conditionalFormatting sqref="TNY102">
    <cfRule type="duplicateValues" dxfId="0" priority="451"/>
  </conditionalFormatting>
  <conditionalFormatting sqref="TOF102">
    <cfRule type="duplicateValues" dxfId="0" priority="450"/>
  </conditionalFormatting>
  <conditionalFormatting sqref="TOM102">
    <cfRule type="duplicateValues" dxfId="0" priority="449"/>
  </conditionalFormatting>
  <conditionalFormatting sqref="TOT102">
    <cfRule type="duplicateValues" dxfId="0" priority="448"/>
  </conditionalFormatting>
  <conditionalFormatting sqref="TPA102">
    <cfRule type="duplicateValues" dxfId="0" priority="447"/>
  </conditionalFormatting>
  <conditionalFormatting sqref="TPH102">
    <cfRule type="duplicateValues" dxfId="0" priority="446"/>
  </conditionalFormatting>
  <conditionalFormatting sqref="TPO102">
    <cfRule type="duplicateValues" dxfId="0" priority="445"/>
  </conditionalFormatting>
  <conditionalFormatting sqref="TPV102">
    <cfRule type="duplicateValues" dxfId="0" priority="444"/>
  </conditionalFormatting>
  <conditionalFormatting sqref="TQC102">
    <cfRule type="duplicateValues" dxfId="0" priority="443"/>
  </conditionalFormatting>
  <conditionalFormatting sqref="TQJ102">
    <cfRule type="duplicateValues" dxfId="0" priority="442"/>
  </conditionalFormatting>
  <conditionalFormatting sqref="TQQ102">
    <cfRule type="duplicateValues" dxfId="0" priority="441"/>
  </conditionalFormatting>
  <conditionalFormatting sqref="TQX102">
    <cfRule type="duplicateValues" dxfId="0" priority="440"/>
  </conditionalFormatting>
  <conditionalFormatting sqref="TRE102">
    <cfRule type="duplicateValues" dxfId="0" priority="439"/>
  </conditionalFormatting>
  <conditionalFormatting sqref="TRL102">
    <cfRule type="duplicateValues" dxfId="0" priority="438"/>
  </conditionalFormatting>
  <conditionalFormatting sqref="TRS102">
    <cfRule type="duplicateValues" dxfId="0" priority="437"/>
  </conditionalFormatting>
  <conditionalFormatting sqref="TRZ102">
    <cfRule type="duplicateValues" dxfId="0" priority="436"/>
  </conditionalFormatting>
  <conditionalFormatting sqref="TSG102">
    <cfRule type="duplicateValues" dxfId="0" priority="435"/>
  </conditionalFormatting>
  <conditionalFormatting sqref="TSN102">
    <cfRule type="duplicateValues" dxfId="0" priority="434"/>
  </conditionalFormatting>
  <conditionalFormatting sqref="TSU102">
    <cfRule type="duplicateValues" dxfId="0" priority="433"/>
  </conditionalFormatting>
  <conditionalFormatting sqref="TTB102">
    <cfRule type="duplicateValues" dxfId="0" priority="432"/>
  </conditionalFormatting>
  <conditionalFormatting sqref="TTI102">
    <cfRule type="duplicateValues" dxfId="0" priority="431"/>
  </conditionalFormatting>
  <conditionalFormatting sqref="TTP102">
    <cfRule type="duplicateValues" dxfId="0" priority="430"/>
  </conditionalFormatting>
  <conditionalFormatting sqref="TTW102">
    <cfRule type="duplicateValues" dxfId="0" priority="429"/>
  </conditionalFormatting>
  <conditionalFormatting sqref="TUD102">
    <cfRule type="duplicateValues" dxfId="0" priority="428"/>
  </conditionalFormatting>
  <conditionalFormatting sqref="TUK102">
    <cfRule type="duplicateValues" dxfId="0" priority="427"/>
  </conditionalFormatting>
  <conditionalFormatting sqref="TUR102">
    <cfRule type="duplicateValues" dxfId="0" priority="426"/>
  </conditionalFormatting>
  <conditionalFormatting sqref="TUY102">
    <cfRule type="duplicateValues" dxfId="0" priority="425"/>
  </conditionalFormatting>
  <conditionalFormatting sqref="TVF102">
    <cfRule type="duplicateValues" dxfId="0" priority="424"/>
  </conditionalFormatting>
  <conditionalFormatting sqref="TVM102">
    <cfRule type="duplicateValues" dxfId="0" priority="423"/>
  </conditionalFormatting>
  <conditionalFormatting sqref="TVT102">
    <cfRule type="duplicateValues" dxfId="0" priority="422"/>
  </conditionalFormatting>
  <conditionalFormatting sqref="TWA102">
    <cfRule type="duplicateValues" dxfId="0" priority="421"/>
  </conditionalFormatting>
  <conditionalFormatting sqref="TWH102">
    <cfRule type="duplicateValues" dxfId="0" priority="420"/>
  </conditionalFormatting>
  <conditionalFormatting sqref="TWO102">
    <cfRule type="duplicateValues" dxfId="0" priority="419"/>
  </conditionalFormatting>
  <conditionalFormatting sqref="TWV102">
    <cfRule type="duplicateValues" dxfId="0" priority="418"/>
  </conditionalFormatting>
  <conditionalFormatting sqref="TXC102">
    <cfRule type="duplicateValues" dxfId="0" priority="417"/>
  </conditionalFormatting>
  <conditionalFormatting sqref="TXJ102">
    <cfRule type="duplicateValues" dxfId="0" priority="416"/>
  </conditionalFormatting>
  <conditionalFormatting sqref="TXQ102">
    <cfRule type="duplicateValues" dxfId="0" priority="415"/>
  </conditionalFormatting>
  <conditionalFormatting sqref="TXX102">
    <cfRule type="duplicateValues" dxfId="0" priority="414"/>
  </conditionalFormatting>
  <conditionalFormatting sqref="TYE102">
    <cfRule type="duplicateValues" dxfId="0" priority="413"/>
  </conditionalFormatting>
  <conditionalFormatting sqref="TYL102">
    <cfRule type="duplicateValues" dxfId="0" priority="412"/>
  </conditionalFormatting>
  <conditionalFormatting sqref="TYS102">
    <cfRule type="duplicateValues" dxfId="0" priority="411"/>
  </conditionalFormatting>
  <conditionalFormatting sqref="TYZ102">
    <cfRule type="duplicateValues" dxfId="0" priority="410"/>
  </conditionalFormatting>
  <conditionalFormatting sqref="TZG102">
    <cfRule type="duplicateValues" dxfId="0" priority="409"/>
  </conditionalFormatting>
  <conditionalFormatting sqref="TZN102">
    <cfRule type="duplicateValues" dxfId="0" priority="408"/>
  </conditionalFormatting>
  <conditionalFormatting sqref="TZU102">
    <cfRule type="duplicateValues" dxfId="0" priority="407"/>
  </conditionalFormatting>
  <conditionalFormatting sqref="UAB102">
    <cfRule type="duplicateValues" dxfId="0" priority="406"/>
  </conditionalFormatting>
  <conditionalFormatting sqref="UAI102">
    <cfRule type="duplicateValues" dxfId="0" priority="405"/>
  </conditionalFormatting>
  <conditionalFormatting sqref="UAP102">
    <cfRule type="duplicateValues" dxfId="0" priority="404"/>
  </conditionalFormatting>
  <conditionalFormatting sqref="UAW102">
    <cfRule type="duplicateValues" dxfId="0" priority="403"/>
  </conditionalFormatting>
  <conditionalFormatting sqref="UBD102">
    <cfRule type="duplicateValues" dxfId="0" priority="402"/>
  </conditionalFormatting>
  <conditionalFormatting sqref="UBK102">
    <cfRule type="duplicateValues" dxfId="0" priority="401"/>
  </conditionalFormatting>
  <conditionalFormatting sqref="UBR102">
    <cfRule type="duplicateValues" dxfId="0" priority="400"/>
  </conditionalFormatting>
  <conditionalFormatting sqref="UBY102">
    <cfRule type="duplicateValues" dxfId="0" priority="399"/>
  </conditionalFormatting>
  <conditionalFormatting sqref="UCF102">
    <cfRule type="duplicateValues" dxfId="0" priority="398"/>
  </conditionalFormatting>
  <conditionalFormatting sqref="UCM102">
    <cfRule type="duplicateValues" dxfId="0" priority="397"/>
  </conditionalFormatting>
  <conditionalFormatting sqref="UCT102">
    <cfRule type="duplicateValues" dxfId="0" priority="396"/>
  </conditionalFormatting>
  <conditionalFormatting sqref="UDA102">
    <cfRule type="duplicateValues" dxfId="0" priority="395"/>
  </conditionalFormatting>
  <conditionalFormatting sqref="UDH102">
    <cfRule type="duplicateValues" dxfId="0" priority="394"/>
  </conditionalFormatting>
  <conditionalFormatting sqref="UDO102">
    <cfRule type="duplicateValues" dxfId="0" priority="393"/>
  </conditionalFormatting>
  <conditionalFormatting sqref="UDV102">
    <cfRule type="duplicateValues" dxfId="0" priority="392"/>
  </conditionalFormatting>
  <conditionalFormatting sqref="UEC102">
    <cfRule type="duplicateValues" dxfId="0" priority="391"/>
  </conditionalFormatting>
  <conditionalFormatting sqref="UEJ102">
    <cfRule type="duplicateValues" dxfId="0" priority="390"/>
  </conditionalFormatting>
  <conditionalFormatting sqref="UEQ102">
    <cfRule type="duplicateValues" dxfId="0" priority="389"/>
  </conditionalFormatting>
  <conditionalFormatting sqref="UEX102">
    <cfRule type="duplicateValues" dxfId="0" priority="388"/>
  </conditionalFormatting>
  <conditionalFormatting sqref="UFE102">
    <cfRule type="duplicateValues" dxfId="0" priority="387"/>
  </conditionalFormatting>
  <conditionalFormatting sqref="UFL102">
    <cfRule type="duplicateValues" dxfId="0" priority="386"/>
  </conditionalFormatting>
  <conditionalFormatting sqref="UFS102">
    <cfRule type="duplicateValues" dxfId="0" priority="385"/>
  </conditionalFormatting>
  <conditionalFormatting sqref="UFZ102">
    <cfRule type="duplicateValues" dxfId="0" priority="384"/>
  </conditionalFormatting>
  <conditionalFormatting sqref="UGG102">
    <cfRule type="duplicateValues" dxfId="0" priority="383"/>
  </conditionalFormatting>
  <conditionalFormatting sqref="UGN102">
    <cfRule type="duplicateValues" dxfId="0" priority="382"/>
  </conditionalFormatting>
  <conditionalFormatting sqref="UGU102">
    <cfRule type="duplicateValues" dxfId="0" priority="381"/>
  </conditionalFormatting>
  <conditionalFormatting sqref="UHB102">
    <cfRule type="duplicateValues" dxfId="0" priority="380"/>
  </conditionalFormatting>
  <conditionalFormatting sqref="UHI102">
    <cfRule type="duplicateValues" dxfId="0" priority="379"/>
  </conditionalFormatting>
  <conditionalFormatting sqref="UHP102">
    <cfRule type="duplicateValues" dxfId="0" priority="378"/>
  </conditionalFormatting>
  <conditionalFormatting sqref="UHW102">
    <cfRule type="duplicateValues" dxfId="0" priority="377"/>
  </conditionalFormatting>
  <conditionalFormatting sqref="UID102">
    <cfRule type="duplicateValues" dxfId="0" priority="376"/>
  </conditionalFormatting>
  <conditionalFormatting sqref="UIK102">
    <cfRule type="duplicateValues" dxfId="0" priority="375"/>
  </conditionalFormatting>
  <conditionalFormatting sqref="UIR102">
    <cfRule type="duplicateValues" dxfId="0" priority="374"/>
  </conditionalFormatting>
  <conditionalFormatting sqref="UIY102">
    <cfRule type="duplicateValues" dxfId="0" priority="373"/>
  </conditionalFormatting>
  <conditionalFormatting sqref="UJF102">
    <cfRule type="duplicateValues" dxfId="0" priority="372"/>
  </conditionalFormatting>
  <conditionalFormatting sqref="UJM102">
    <cfRule type="duplicateValues" dxfId="0" priority="371"/>
  </conditionalFormatting>
  <conditionalFormatting sqref="UJT102">
    <cfRule type="duplicateValues" dxfId="0" priority="370"/>
  </conditionalFormatting>
  <conditionalFormatting sqref="UKA102">
    <cfRule type="duplicateValues" dxfId="0" priority="369"/>
  </conditionalFormatting>
  <conditionalFormatting sqref="UKH102">
    <cfRule type="duplicateValues" dxfId="0" priority="368"/>
  </conditionalFormatting>
  <conditionalFormatting sqref="UKO102">
    <cfRule type="duplicateValues" dxfId="0" priority="367"/>
  </conditionalFormatting>
  <conditionalFormatting sqref="UKV102">
    <cfRule type="duplicateValues" dxfId="0" priority="366"/>
  </conditionalFormatting>
  <conditionalFormatting sqref="ULC102">
    <cfRule type="duplicateValues" dxfId="0" priority="365"/>
  </conditionalFormatting>
  <conditionalFormatting sqref="ULJ102">
    <cfRule type="duplicateValues" dxfId="0" priority="364"/>
  </conditionalFormatting>
  <conditionalFormatting sqref="ULQ102">
    <cfRule type="duplicateValues" dxfId="0" priority="363"/>
  </conditionalFormatting>
  <conditionalFormatting sqref="ULX102">
    <cfRule type="duplicateValues" dxfId="0" priority="362"/>
  </conditionalFormatting>
  <conditionalFormatting sqref="UME102">
    <cfRule type="duplicateValues" dxfId="0" priority="361"/>
  </conditionalFormatting>
  <conditionalFormatting sqref="UML102">
    <cfRule type="duplicateValues" dxfId="0" priority="360"/>
  </conditionalFormatting>
  <conditionalFormatting sqref="UMS102">
    <cfRule type="duplicateValues" dxfId="0" priority="359"/>
  </conditionalFormatting>
  <conditionalFormatting sqref="UMZ102">
    <cfRule type="duplicateValues" dxfId="0" priority="358"/>
  </conditionalFormatting>
  <conditionalFormatting sqref="UNG102">
    <cfRule type="duplicateValues" dxfId="0" priority="357"/>
  </conditionalFormatting>
  <conditionalFormatting sqref="UNN102">
    <cfRule type="duplicateValues" dxfId="0" priority="356"/>
  </conditionalFormatting>
  <conditionalFormatting sqref="UNU102">
    <cfRule type="duplicateValues" dxfId="0" priority="355"/>
  </conditionalFormatting>
  <conditionalFormatting sqref="UOB102">
    <cfRule type="duplicateValues" dxfId="0" priority="354"/>
  </conditionalFormatting>
  <conditionalFormatting sqref="UOI102">
    <cfRule type="duplicateValues" dxfId="0" priority="353"/>
  </conditionalFormatting>
  <conditionalFormatting sqref="UOP102">
    <cfRule type="duplicateValues" dxfId="0" priority="352"/>
  </conditionalFormatting>
  <conditionalFormatting sqref="UOW102">
    <cfRule type="duplicateValues" dxfId="0" priority="351"/>
  </conditionalFormatting>
  <conditionalFormatting sqref="UPD102">
    <cfRule type="duplicateValues" dxfId="0" priority="350"/>
  </conditionalFormatting>
  <conditionalFormatting sqref="UPK102">
    <cfRule type="duplicateValues" dxfId="0" priority="349"/>
  </conditionalFormatting>
  <conditionalFormatting sqref="UPR102">
    <cfRule type="duplicateValues" dxfId="0" priority="348"/>
  </conditionalFormatting>
  <conditionalFormatting sqref="UPY102">
    <cfRule type="duplicateValues" dxfId="0" priority="347"/>
  </conditionalFormatting>
  <conditionalFormatting sqref="UQF102">
    <cfRule type="duplicateValues" dxfId="0" priority="346"/>
  </conditionalFormatting>
  <conditionalFormatting sqref="UQM102">
    <cfRule type="duplicateValues" dxfId="0" priority="345"/>
  </conditionalFormatting>
  <conditionalFormatting sqref="UQT102">
    <cfRule type="duplicateValues" dxfId="0" priority="344"/>
  </conditionalFormatting>
  <conditionalFormatting sqref="URA102">
    <cfRule type="duplicateValues" dxfId="0" priority="343"/>
  </conditionalFormatting>
  <conditionalFormatting sqref="URH102">
    <cfRule type="duplicateValues" dxfId="0" priority="342"/>
  </conditionalFormatting>
  <conditionalFormatting sqref="URO102">
    <cfRule type="duplicateValues" dxfId="0" priority="341"/>
  </conditionalFormatting>
  <conditionalFormatting sqref="URV102">
    <cfRule type="duplicateValues" dxfId="0" priority="340"/>
  </conditionalFormatting>
  <conditionalFormatting sqref="USC102">
    <cfRule type="duplicateValues" dxfId="0" priority="339"/>
  </conditionalFormatting>
  <conditionalFormatting sqref="USJ102">
    <cfRule type="duplicateValues" dxfId="0" priority="338"/>
  </conditionalFormatting>
  <conditionalFormatting sqref="USQ102">
    <cfRule type="duplicateValues" dxfId="0" priority="337"/>
  </conditionalFormatting>
  <conditionalFormatting sqref="USX102">
    <cfRule type="duplicateValues" dxfId="0" priority="336"/>
  </conditionalFormatting>
  <conditionalFormatting sqref="UTE102">
    <cfRule type="duplicateValues" dxfId="0" priority="335"/>
  </conditionalFormatting>
  <conditionalFormatting sqref="UTL102">
    <cfRule type="duplicateValues" dxfId="0" priority="334"/>
  </conditionalFormatting>
  <conditionalFormatting sqref="UTS102">
    <cfRule type="duplicateValues" dxfId="0" priority="333"/>
  </conditionalFormatting>
  <conditionalFormatting sqref="UTZ102">
    <cfRule type="duplicateValues" dxfId="0" priority="332"/>
  </conditionalFormatting>
  <conditionalFormatting sqref="UUG102">
    <cfRule type="duplicateValues" dxfId="0" priority="331"/>
  </conditionalFormatting>
  <conditionalFormatting sqref="UUN102">
    <cfRule type="duplicateValues" dxfId="0" priority="330"/>
  </conditionalFormatting>
  <conditionalFormatting sqref="UUU102">
    <cfRule type="duplicateValues" dxfId="0" priority="329"/>
  </conditionalFormatting>
  <conditionalFormatting sqref="UVB102">
    <cfRule type="duplicateValues" dxfId="0" priority="328"/>
  </conditionalFormatting>
  <conditionalFormatting sqref="UVI102">
    <cfRule type="duplicateValues" dxfId="0" priority="327"/>
  </conditionalFormatting>
  <conditionalFormatting sqref="UVP102">
    <cfRule type="duplicateValues" dxfId="0" priority="326"/>
  </conditionalFormatting>
  <conditionalFormatting sqref="UVW102">
    <cfRule type="duplicateValues" dxfId="0" priority="325"/>
  </conditionalFormatting>
  <conditionalFormatting sqref="UWD102">
    <cfRule type="duplicateValues" dxfId="0" priority="324"/>
  </conditionalFormatting>
  <conditionalFormatting sqref="UWK102">
    <cfRule type="duplicateValues" dxfId="0" priority="323"/>
  </conditionalFormatting>
  <conditionalFormatting sqref="UWR102">
    <cfRule type="duplicateValues" dxfId="0" priority="322"/>
  </conditionalFormatting>
  <conditionalFormatting sqref="UWY102">
    <cfRule type="duplicateValues" dxfId="0" priority="321"/>
  </conditionalFormatting>
  <conditionalFormatting sqref="UXF102">
    <cfRule type="duplicateValues" dxfId="0" priority="320"/>
  </conditionalFormatting>
  <conditionalFormatting sqref="UXM102">
    <cfRule type="duplicateValues" dxfId="0" priority="319"/>
  </conditionalFormatting>
  <conditionalFormatting sqref="UXT102">
    <cfRule type="duplicateValues" dxfId="0" priority="318"/>
  </conditionalFormatting>
  <conditionalFormatting sqref="UYA102">
    <cfRule type="duplicateValues" dxfId="0" priority="317"/>
  </conditionalFormatting>
  <conditionalFormatting sqref="UYH102">
    <cfRule type="duplicateValues" dxfId="0" priority="316"/>
  </conditionalFormatting>
  <conditionalFormatting sqref="UYO102">
    <cfRule type="duplicateValues" dxfId="0" priority="315"/>
  </conditionalFormatting>
  <conditionalFormatting sqref="UYV102">
    <cfRule type="duplicateValues" dxfId="0" priority="314"/>
  </conditionalFormatting>
  <conditionalFormatting sqref="UZC102">
    <cfRule type="duplicateValues" dxfId="0" priority="313"/>
  </conditionalFormatting>
  <conditionalFormatting sqref="UZJ102">
    <cfRule type="duplicateValues" dxfId="0" priority="312"/>
  </conditionalFormatting>
  <conditionalFormatting sqref="UZQ102">
    <cfRule type="duplicateValues" dxfId="0" priority="311"/>
  </conditionalFormatting>
  <conditionalFormatting sqref="UZX102">
    <cfRule type="duplicateValues" dxfId="0" priority="310"/>
  </conditionalFormatting>
  <conditionalFormatting sqref="VAE102">
    <cfRule type="duplicateValues" dxfId="0" priority="309"/>
  </conditionalFormatting>
  <conditionalFormatting sqref="VAL102">
    <cfRule type="duplicateValues" dxfId="0" priority="308"/>
  </conditionalFormatting>
  <conditionalFormatting sqref="VAS102">
    <cfRule type="duplicateValues" dxfId="0" priority="307"/>
  </conditionalFormatting>
  <conditionalFormatting sqref="VAZ102">
    <cfRule type="duplicateValues" dxfId="0" priority="306"/>
  </conditionalFormatting>
  <conditionalFormatting sqref="VBG102">
    <cfRule type="duplicateValues" dxfId="0" priority="305"/>
  </conditionalFormatting>
  <conditionalFormatting sqref="VBN102">
    <cfRule type="duplicateValues" dxfId="0" priority="304"/>
  </conditionalFormatting>
  <conditionalFormatting sqref="VBU102">
    <cfRule type="duplicateValues" dxfId="0" priority="303"/>
  </conditionalFormatting>
  <conditionalFormatting sqref="VCB102">
    <cfRule type="duplicateValues" dxfId="0" priority="302"/>
  </conditionalFormatting>
  <conditionalFormatting sqref="VCI102">
    <cfRule type="duplicateValues" dxfId="0" priority="301"/>
  </conditionalFormatting>
  <conditionalFormatting sqref="VCP102">
    <cfRule type="duplicateValues" dxfId="0" priority="300"/>
  </conditionalFormatting>
  <conditionalFormatting sqref="VCW102">
    <cfRule type="duplicateValues" dxfId="0" priority="299"/>
  </conditionalFormatting>
  <conditionalFormatting sqref="VDD102">
    <cfRule type="duplicateValues" dxfId="0" priority="298"/>
  </conditionalFormatting>
  <conditionalFormatting sqref="VDK102">
    <cfRule type="duplicateValues" dxfId="0" priority="297"/>
  </conditionalFormatting>
  <conditionalFormatting sqref="VDR102">
    <cfRule type="duplicateValues" dxfId="0" priority="296"/>
  </conditionalFormatting>
  <conditionalFormatting sqref="VDY102">
    <cfRule type="duplicateValues" dxfId="0" priority="295"/>
  </conditionalFormatting>
  <conditionalFormatting sqref="VEF102">
    <cfRule type="duplicateValues" dxfId="0" priority="294"/>
  </conditionalFormatting>
  <conditionalFormatting sqref="VEM102">
    <cfRule type="duplicateValues" dxfId="0" priority="293"/>
  </conditionalFormatting>
  <conditionalFormatting sqref="VET102">
    <cfRule type="duplicateValues" dxfId="0" priority="292"/>
  </conditionalFormatting>
  <conditionalFormatting sqref="VFA102">
    <cfRule type="duplicateValues" dxfId="0" priority="291"/>
  </conditionalFormatting>
  <conditionalFormatting sqref="VFH102">
    <cfRule type="duplicateValues" dxfId="0" priority="290"/>
  </conditionalFormatting>
  <conditionalFormatting sqref="VFO102">
    <cfRule type="duplicateValues" dxfId="0" priority="289"/>
  </conditionalFormatting>
  <conditionalFormatting sqref="VFV102">
    <cfRule type="duplicateValues" dxfId="0" priority="288"/>
  </conditionalFormatting>
  <conditionalFormatting sqref="VGC102">
    <cfRule type="duplicateValues" dxfId="0" priority="287"/>
  </conditionalFormatting>
  <conditionalFormatting sqref="VGJ102">
    <cfRule type="duplicateValues" dxfId="0" priority="286"/>
  </conditionalFormatting>
  <conditionalFormatting sqref="VGQ102">
    <cfRule type="duplicateValues" dxfId="0" priority="285"/>
  </conditionalFormatting>
  <conditionalFormatting sqref="VGX102">
    <cfRule type="duplicateValues" dxfId="0" priority="284"/>
  </conditionalFormatting>
  <conditionalFormatting sqref="VHE102">
    <cfRule type="duplicateValues" dxfId="0" priority="283"/>
  </conditionalFormatting>
  <conditionalFormatting sqref="VHL102">
    <cfRule type="duplicateValues" dxfId="0" priority="282"/>
  </conditionalFormatting>
  <conditionalFormatting sqref="VHS102">
    <cfRule type="duplicateValues" dxfId="0" priority="281"/>
  </conditionalFormatting>
  <conditionalFormatting sqref="VHZ102">
    <cfRule type="duplicateValues" dxfId="0" priority="280"/>
  </conditionalFormatting>
  <conditionalFormatting sqref="VIG102">
    <cfRule type="duplicateValues" dxfId="0" priority="279"/>
  </conditionalFormatting>
  <conditionalFormatting sqref="VIN102">
    <cfRule type="duplicateValues" dxfId="0" priority="278"/>
  </conditionalFormatting>
  <conditionalFormatting sqref="VIU102">
    <cfRule type="duplicateValues" dxfId="0" priority="277"/>
  </conditionalFormatting>
  <conditionalFormatting sqref="VJB102">
    <cfRule type="duplicateValues" dxfId="0" priority="276"/>
  </conditionalFormatting>
  <conditionalFormatting sqref="VJI102">
    <cfRule type="duplicateValues" dxfId="0" priority="275"/>
  </conditionalFormatting>
  <conditionalFormatting sqref="VJP102">
    <cfRule type="duplicateValues" dxfId="0" priority="274"/>
  </conditionalFormatting>
  <conditionalFormatting sqref="VJW102">
    <cfRule type="duplicateValues" dxfId="0" priority="273"/>
  </conditionalFormatting>
  <conditionalFormatting sqref="VKD102">
    <cfRule type="duplicateValues" dxfId="0" priority="272"/>
  </conditionalFormatting>
  <conditionalFormatting sqref="VKK102">
    <cfRule type="duplicateValues" dxfId="0" priority="271"/>
  </conditionalFormatting>
  <conditionalFormatting sqref="VKR102">
    <cfRule type="duplicateValues" dxfId="0" priority="270"/>
  </conditionalFormatting>
  <conditionalFormatting sqref="VKY102">
    <cfRule type="duplicateValues" dxfId="0" priority="269"/>
  </conditionalFormatting>
  <conditionalFormatting sqref="VLF102">
    <cfRule type="duplicateValues" dxfId="0" priority="268"/>
  </conditionalFormatting>
  <conditionalFormatting sqref="VLM102">
    <cfRule type="duplicateValues" dxfId="0" priority="267"/>
  </conditionalFormatting>
  <conditionalFormatting sqref="VLT102">
    <cfRule type="duplicateValues" dxfId="0" priority="266"/>
  </conditionalFormatting>
  <conditionalFormatting sqref="VMA102">
    <cfRule type="duplicateValues" dxfId="0" priority="265"/>
  </conditionalFormatting>
  <conditionalFormatting sqref="VMH102">
    <cfRule type="duplicateValues" dxfId="0" priority="264"/>
  </conditionalFormatting>
  <conditionalFormatting sqref="VMO102">
    <cfRule type="duplicateValues" dxfId="0" priority="263"/>
  </conditionalFormatting>
  <conditionalFormatting sqref="VMV102">
    <cfRule type="duplicateValues" dxfId="0" priority="262"/>
  </conditionalFormatting>
  <conditionalFormatting sqref="VNC102">
    <cfRule type="duplicateValues" dxfId="0" priority="261"/>
  </conditionalFormatting>
  <conditionalFormatting sqref="VNJ102">
    <cfRule type="duplicateValues" dxfId="0" priority="260"/>
  </conditionalFormatting>
  <conditionalFormatting sqref="VNQ102">
    <cfRule type="duplicateValues" dxfId="0" priority="259"/>
  </conditionalFormatting>
  <conditionalFormatting sqref="VNX102">
    <cfRule type="duplicateValues" dxfId="0" priority="258"/>
  </conditionalFormatting>
  <conditionalFormatting sqref="VOE102">
    <cfRule type="duplicateValues" dxfId="0" priority="257"/>
  </conditionalFormatting>
  <conditionalFormatting sqref="VOL102">
    <cfRule type="duplicateValues" dxfId="0" priority="256"/>
  </conditionalFormatting>
  <conditionalFormatting sqref="VOS102">
    <cfRule type="duplicateValues" dxfId="0" priority="255"/>
  </conditionalFormatting>
  <conditionalFormatting sqref="VOZ102">
    <cfRule type="duplicateValues" dxfId="0" priority="254"/>
  </conditionalFormatting>
  <conditionalFormatting sqref="VPG102">
    <cfRule type="duplicateValues" dxfId="0" priority="253"/>
  </conditionalFormatting>
  <conditionalFormatting sqref="VPN102">
    <cfRule type="duplicateValues" dxfId="0" priority="252"/>
  </conditionalFormatting>
  <conditionalFormatting sqref="VPU102">
    <cfRule type="duplicateValues" dxfId="0" priority="251"/>
  </conditionalFormatting>
  <conditionalFormatting sqref="VQB102">
    <cfRule type="duplicateValues" dxfId="0" priority="250"/>
  </conditionalFormatting>
  <conditionalFormatting sqref="VQI102">
    <cfRule type="duplicateValues" dxfId="0" priority="249"/>
  </conditionalFormatting>
  <conditionalFormatting sqref="VQP102">
    <cfRule type="duplicateValues" dxfId="0" priority="248"/>
  </conditionalFormatting>
  <conditionalFormatting sqref="VQW102">
    <cfRule type="duplicateValues" dxfId="0" priority="247"/>
  </conditionalFormatting>
  <conditionalFormatting sqref="VRD102">
    <cfRule type="duplicateValues" dxfId="0" priority="246"/>
  </conditionalFormatting>
  <conditionalFormatting sqref="VRK102">
    <cfRule type="duplicateValues" dxfId="0" priority="245"/>
  </conditionalFormatting>
  <conditionalFormatting sqref="VRR102">
    <cfRule type="duplicateValues" dxfId="0" priority="244"/>
  </conditionalFormatting>
  <conditionalFormatting sqref="VRY102">
    <cfRule type="duplicateValues" dxfId="0" priority="243"/>
  </conditionalFormatting>
  <conditionalFormatting sqref="VSF102">
    <cfRule type="duplicateValues" dxfId="0" priority="242"/>
  </conditionalFormatting>
  <conditionalFormatting sqref="VSM102">
    <cfRule type="duplicateValues" dxfId="0" priority="241"/>
  </conditionalFormatting>
  <conditionalFormatting sqref="VST102">
    <cfRule type="duplicateValues" dxfId="0" priority="240"/>
  </conditionalFormatting>
  <conditionalFormatting sqref="VTA102">
    <cfRule type="duplicateValues" dxfId="0" priority="239"/>
  </conditionalFormatting>
  <conditionalFormatting sqref="VTH102">
    <cfRule type="duplicateValues" dxfId="0" priority="238"/>
  </conditionalFormatting>
  <conditionalFormatting sqref="VTO102">
    <cfRule type="duplicateValues" dxfId="0" priority="237"/>
  </conditionalFormatting>
  <conditionalFormatting sqref="VTV102">
    <cfRule type="duplicateValues" dxfId="0" priority="236"/>
  </conditionalFormatting>
  <conditionalFormatting sqref="VUC102">
    <cfRule type="duplicateValues" dxfId="0" priority="235"/>
  </conditionalFormatting>
  <conditionalFormatting sqref="VUJ102">
    <cfRule type="duplicateValues" dxfId="0" priority="234"/>
  </conditionalFormatting>
  <conditionalFormatting sqref="VUQ102">
    <cfRule type="duplicateValues" dxfId="0" priority="233"/>
  </conditionalFormatting>
  <conditionalFormatting sqref="VUX102">
    <cfRule type="duplicateValues" dxfId="0" priority="232"/>
  </conditionalFormatting>
  <conditionalFormatting sqref="VVE102">
    <cfRule type="duplicateValues" dxfId="0" priority="231"/>
  </conditionalFormatting>
  <conditionalFormatting sqref="VVL102">
    <cfRule type="duplicateValues" dxfId="0" priority="230"/>
  </conditionalFormatting>
  <conditionalFormatting sqref="VVS102">
    <cfRule type="duplicateValues" dxfId="0" priority="229"/>
  </conditionalFormatting>
  <conditionalFormatting sqref="VVZ102">
    <cfRule type="duplicateValues" dxfId="0" priority="228"/>
  </conditionalFormatting>
  <conditionalFormatting sqref="VWG102">
    <cfRule type="duplicateValues" dxfId="0" priority="227"/>
  </conditionalFormatting>
  <conditionalFormatting sqref="VWN102">
    <cfRule type="duplicateValues" dxfId="0" priority="226"/>
  </conditionalFormatting>
  <conditionalFormatting sqref="VWU102">
    <cfRule type="duplicateValues" dxfId="0" priority="225"/>
  </conditionalFormatting>
  <conditionalFormatting sqref="VXB102">
    <cfRule type="duplicateValues" dxfId="0" priority="224"/>
  </conditionalFormatting>
  <conditionalFormatting sqref="VXI102">
    <cfRule type="duplicateValues" dxfId="0" priority="223"/>
  </conditionalFormatting>
  <conditionalFormatting sqref="VXP102">
    <cfRule type="duplicateValues" dxfId="0" priority="222"/>
  </conditionalFormatting>
  <conditionalFormatting sqref="VXW102">
    <cfRule type="duplicateValues" dxfId="0" priority="221"/>
  </conditionalFormatting>
  <conditionalFormatting sqref="VYD102">
    <cfRule type="duplicateValues" dxfId="0" priority="220"/>
  </conditionalFormatting>
  <conditionalFormatting sqref="VYK102">
    <cfRule type="duplicateValues" dxfId="0" priority="219"/>
  </conditionalFormatting>
  <conditionalFormatting sqref="VYR102">
    <cfRule type="duplicateValues" dxfId="0" priority="218"/>
  </conditionalFormatting>
  <conditionalFormatting sqref="VYY102">
    <cfRule type="duplicateValues" dxfId="0" priority="217"/>
  </conditionalFormatting>
  <conditionalFormatting sqref="VZF102">
    <cfRule type="duplicateValues" dxfId="0" priority="216"/>
  </conditionalFormatting>
  <conditionalFormatting sqref="VZM102">
    <cfRule type="duplicateValues" dxfId="0" priority="215"/>
  </conditionalFormatting>
  <conditionalFormatting sqref="VZT102">
    <cfRule type="duplicateValues" dxfId="0" priority="214"/>
  </conditionalFormatting>
  <conditionalFormatting sqref="WAA102">
    <cfRule type="duplicateValues" dxfId="0" priority="213"/>
  </conditionalFormatting>
  <conditionalFormatting sqref="WAH102">
    <cfRule type="duplicateValues" dxfId="0" priority="212"/>
  </conditionalFormatting>
  <conditionalFormatting sqref="WAO102">
    <cfRule type="duplicateValues" dxfId="0" priority="211"/>
  </conditionalFormatting>
  <conditionalFormatting sqref="WAV102">
    <cfRule type="duplicateValues" dxfId="0" priority="210"/>
  </conditionalFormatting>
  <conditionalFormatting sqref="WBC102">
    <cfRule type="duplicateValues" dxfId="0" priority="209"/>
  </conditionalFormatting>
  <conditionalFormatting sqref="WBJ102">
    <cfRule type="duplicateValues" dxfId="0" priority="208"/>
  </conditionalFormatting>
  <conditionalFormatting sqref="WBQ102">
    <cfRule type="duplicateValues" dxfId="0" priority="207"/>
  </conditionalFormatting>
  <conditionalFormatting sqref="WBX102">
    <cfRule type="duplicateValues" dxfId="0" priority="206"/>
  </conditionalFormatting>
  <conditionalFormatting sqref="WCE102">
    <cfRule type="duplicateValues" dxfId="0" priority="205"/>
  </conditionalFormatting>
  <conditionalFormatting sqref="WCL102">
    <cfRule type="duplicateValues" dxfId="0" priority="204"/>
  </conditionalFormatting>
  <conditionalFormatting sqref="WCS102">
    <cfRule type="duplicateValues" dxfId="0" priority="203"/>
  </conditionalFormatting>
  <conditionalFormatting sqref="WCZ102">
    <cfRule type="duplicateValues" dxfId="0" priority="202"/>
  </conditionalFormatting>
  <conditionalFormatting sqref="WDG102">
    <cfRule type="duplicateValues" dxfId="0" priority="201"/>
  </conditionalFormatting>
  <conditionalFormatting sqref="WDN102">
    <cfRule type="duplicateValues" dxfId="0" priority="200"/>
  </conditionalFormatting>
  <conditionalFormatting sqref="WDU102">
    <cfRule type="duplicateValues" dxfId="0" priority="199"/>
  </conditionalFormatting>
  <conditionalFormatting sqref="WEB102">
    <cfRule type="duplicateValues" dxfId="0" priority="198"/>
  </conditionalFormatting>
  <conditionalFormatting sqref="WEI102">
    <cfRule type="duplicateValues" dxfId="0" priority="197"/>
  </conditionalFormatting>
  <conditionalFormatting sqref="WEP102">
    <cfRule type="duplicateValues" dxfId="0" priority="196"/>
  </conditionalFormatting>
  <conditionalFormatting sqref="WEW102">
    <cfRule type="duplicateValues" dxfId="0" priority="195"/>
  </conditionalFormatting>
  <conditionalFormatting sqref="WFD102">
    <cfRule type="duplicateValues" dxfId="0" priority="194"/>
  </conditionalFormatting>
  <conditionalFormatting sqref="WFK102">
    <cfRule type="duplicateValues" dxfId="0" priority="193"/>
  </conditionalFormatting>
  <conditionalFormatting sqref="WFR102">
    <cfRule type="duplicateValues" dxfId="0" priority="192"/>
  </conditionalFormatting>
  <conditionalFormatting sqref="WFY102">
    <cfRule type="duplicateValues" dxfId="0" priority="191"/>
  </conditionalFormatting>
  <conditionalFormatting sqref="WGF102">
    <cfRule type="duplicateValues" dxfId="0" priority="190"/>
  </conditionalFormatting>
  <conditionalFormatting sqref="WGM102">
    <cfRule type="duplicateValues" dxfId="0" priority="189"/>
  </conditionalFormatting>
  <conditionalFormatting sqref="WGT102">
    <cfRule type="duplicateValues" dxfId="0" priority="188"/>
  </conditionalFormatting>
  <conditionalFormatting sqref="WHA102">
    <cfRule type="duplicateValues" dxfId="0" priority="187"/>
  </conditionalFormatting>
  <conditionalFormatting sqref="WHH102">
    <cfRule type="duplicateValues" dxfId="0" priority="186"/>
  </conditionalFormatting>
  <conditionalFormatting sqref="WHO102">
    <cfRule type="duplicateValues" dxfId="0" priority="185"/>
  </conditionalFormatting>
  <conditionalFormatting sqref="WHV102">
    <cfRule type="duplicateValues" dxfId="0" priority="184"/>
  </conditionalFormatting>
  <conditionalFormatting sqref="WIC102">
    <cfRule type="duplicateValues" dxfId="0" priority="183"/>
  </conditionalFormatting>
  <conditionalFormatting sqref="WIJ102">
    <cfRule type="duplicateValues" dxfId="0" priority="182"/>
  </conditionalFormatting>
  <conditionalFormatting sqref="WIQ102">
    <cfRule type="duplicateValues" dxfId="0" priority="181"/>
  </conditionalFormatting>
  <conditionalFormatting sqref="WIX102">
    <cfRule type="duplicateValues" dxfId="0" priority="180"/>
  </conditionalFormatting>
  <conditionalFormatting sqref="WJE102">
    <cfRule type="duplicateValues" dxfId="0" priority="179"/>
  </conditionalFormatting>
  <conditionalFormatting sqref="WJL102">
    <cfRule type="duplicateValues" dxfId="0" priority="178"/>
  </conditionalFormatting>
  <conditionalFormatting sqref="WJS102">
    <cfRule type="duplicateValues" dxfId="0" priority="177"/>
  </conditionalFormatting>
  <conditionalFormatting sqref="WJZ102">
    <cfRule type="duplicateValues" dxfId="0" priority="176"/>
  </conditionalFormatting>
  <conditionalFormatting sqref="WKG102">
    <cfRule type="duplicateValues" dxfId="0" priority="175"/>
  </conditionalFormatting>
  <conditionalFormatting sqref="WKN102">
    <cfRule type="duplicateValues" dxfId="0" priority="174"/>
  </conditionalFormatting>
  <conditionalFormatting sqref="WKU102">
    <cfRule type="duplicateValues" dxfId="0" priority="173"/>
  </conditionalFormatting>
  <conditionalFormatting sqref="WLB102">
    <cfRule type="duplicateValues" dxfId="0" priority="172"/>
  </conditionalFormatting>
  <conditionalFormatting sqref="WLI102">
    <cfRule type="duplicateValues" dxfId="0" priority="171"/>
  </conditionalFormatting>
  <conditionalFormatting sqref="WLP102">
    <cfRule type="duplicateValues" dxfId="0" priority="170"/>
  </conditionalFormatting>
  <conditionalFormatting sqref="WLW102">
    <cfRule type="duplicateValues" dxfId="0" priority="169"/>
  </conditionalFormatting>
  <conditionalFormatting sqref="WMD102">
    <cfRule type="duplicateValues" dxfId="0" priority="168"/>
  </conditionalFormatting>
  <conditionalFormatting sqref="WMK102">
    <cfRule type="duplicateValues" dxfId="0" priority="167"/>
  </conditionalFormatting>
  <conditionalFormatting sqref="WMR102">
    <cfRule type="duplicateValues" dxfId="0" priority="166"/>
  </conditionalFormatting>
  <conditionalFormatting sqref="WMY102">
    <cfRule type="duplicateValues" dxfId="0" priority="165"/>
  </conditionalFormatting>
  <conditionalFormatting sqref="WNF102">
    <cfRule type="duplicateValues" dxfId="0" priority="164"/>
  </conditionalFormatting>
  <conditionalFormatting sqref="WNM102">
    <cfRule type="duplicateValues" dxfId="0" priority="163"/>
  </conditionalFormatting>
  <conditionalFormatting sqref="WNT102">
    <cfRule type="duplicateValues" dxfId="0" priority="162"/>
  </conditionalFormatting>
  <conditionalFormatting sqref="WOA102">
    <cfRule type="duplicateValues" dxfId="0" priority="161"/>
  </conditionalFormatting>
  <conditionalFormatting sqref="WOH102">
    <cfRule type="duplicateValues" dxfId="0" priority="160"/>
  </conditionalFormatting>
  <conditionalFormatting sqref="WOO102">
    <cfRule type="duplicateValues" dxfId="0" priority="159"/>
  </conditionalFormatting>
  <conditionalFormatting sqref="WOV102">
    <cfRule type="duplicateValues" dxfId="0" priority="158"/>
  </conditionalFormatting>
  <conditionalFormatting sqref="WPC102">
    <cfRule type="duplicateValues" dxfId="0" priority="157"/>
  </conditionalFormatting>
  <conditionalFormatting sqref="WPJ102">
    <cfRule type="duplicateValues" dxfId="0" priority="156"/>
  </conditionalFormatting>
  <conditionalFormatting sqref="WPQ102">
    <cfRule type="duplicateValues" dxfId="0" priority="155"/>
  </conditionalFormatting>
  <conditionalFormatting sqref="WPX102">
    <cfRule type="duplicateValues" dxfId="0" priority="154"/>
  </conditionalFormatting>
  <conditionalFormatting sqref="WQE102">
    <cfRule type="duplicateValues" dxfId="0" priority="153"/>
  </conditionalFormatting>
  <conditionalFormatting sqref="WQL102">
    <cfRule type="duplicateValues" dxfId="0" priority="152"/>
  </conditionalFormatting>
  <conditionalFormatting sqref="WQS102">
    <cfRule type="duplicateValues" dxfId="0" priority="151"/>
  </conditionalFormatting>
  <conditionalFormatting sqref="WQZ102">
    <cfRule type="duplicateValues" dxfId="0" priority="150"/>
  </conditionalFormatting>
  <conditionalFormatting sqref="WRG102">
    <cfRule type="duplicateValues" dxfId="0" priority="149"/>
  </conditionalFormatting>
  <conditionalFormatting sqref="WRN102">
    <cfRule type="duplicateValues" dxfId="0" priority="148"/>
  </conditionalFormatting>
  <conditionalFormatting sqref="WRU102">
    <cfRule type="duplicateValues" dxfId="0" priority="147"/>
  </conditionalFormatting>
  <conditionalFormatting sqref="WSB102">
    <cfRule type="duplicateValues" dxfId="0" priority="146"/>
  </conditionalFormatting>
  <conditionalFormatting sqref="WSI102">
    <cfRule type="duplicateValues" dxfId="0" priority="145"/>
  </conditionalFormatting>
  <conditionalFormatting sqref="WSP102">
    <cfRule type="duplicateValues" dxfId="0" priority="144"/>
  </conditionalFormatting>
  <conditionalFormatting sqref="WSW102">
    <cfRule type="duplicateValues" dxfId="0" priority="143"/>
  </conditionalFormatting>
  <conditionalFormatting sqref="WTD102">
    <cfRule type="duplicateValues" dxfId="0" priority="142"/>
  </conditionalFormatting>
  <conditionalFormatting sqref="WTK102">
    <cfRule type="duplicateValues" dxfId="0" priority="141"/>
  </conditionalFormatting>
  <conditionalFormatting sqref="WTR102">
    <cfRule type="duplicateValues" dxfId="0" priority="140"/>
  </conditionalFormatting>
  <conditionalFormatting sqref="WTY102">
    <cfRule type="duplicateValues" dxfId="0" priority="139"/>
  </conditionalFormatting>
  <conditionalFormatting sqref="WUF102">
    <cfRule type="duplicateValues" dxfId="0" priority="138"/>
  </conditionalFormatting>
  <conditionalFormatting sqref="WUM102">
    <cfRule type="duplicateValues" dxfId="0" priority="137"/>
  </conditionalFormatting>
  <conditionalFormatting sqref="WUT102">
    <cfRule type="duplicateValues" dxfId="0" priority="136"/>
  </conditionalFormatting>
  <conditionalFormatting sqref="WVA102">
    <cfRule type="duplicateValues" dxfId="0" priority="135"/>
  </conditionalFormatting>
  <conditionalFormatting sqref="WVH102">
    <cfRule type="duplicateValues" dxfId="0" priority="134"/>
  </conditionalFormatting>
  <conditionalFormatting sqref="WVO102">
    <cfRule type="duplicateValues" dxfId="0" priority="133"/>
  </conditionalFormatting>
  <conditionalFormatting sqref="WVV102">
    <cfRule type="duplicateValues" dxfId="0" priority="132"/>
  </conditionalFormatting>
  <conditionalFormatting sqref="WWC102">
    <cfRule type="duplicateValues" dxfId="0" priority="131"/>
  </conditionalFormatting>
  <conditionalFormatting sqref="WWJ102">
    <cfRule type="duplicateValues" dxfId="0" priority="130"/>
  </conditionalFormatting>
  <conditionalFormatting sqref="WWQ102">
    <cfRule type="duplicateValues" dxfId="0" priority="129"/>
  </conditionalFormatting>
  <conditionalFormatting sqref="WWX102">
    <cfRule type="duplicateValues" dxfId="0" priority="128"/>
  </conditionalFormatting>
  <conditionalFormatting sqref="WXE102">
    <cfRule type="duplicateValues" dxfId="0" priority="127"/>
  </conditionalFormatting>
  <conditionalFormatting sqref="WXL102">
    <cfRule type="duplicateValues" dxfId="0" priority="126"/>
  </conditionalFormatting>
  <conditionalFormatting sqref="WXS102">
    <cfRule type="duplicateValues" dxfId="0" priority="125"/>
  </conditionalFormatting>
  <conditionalFormatting sqref="WXZ102">
    <cfRule type="duplicateValues" dxfId="0" priority="124"/>
  </conditionalFormatting>
  <conditionalFormatting sqref="WYG102">
    <cfRule type="duplicateValues" dxfId="0" priority="123"/>
  </conditionalFormatting>
  <conditionalFormatting sqref="WYN102">
    <cfRule type="duplicateValues" dxfId="0" priority="122"/>
  </conditionalFormatting>
  <conditionalFormatting sqref="WYU102">
    <cfRule type="duplicateValues" dxfId="0" priority="121"/>
  </conditionalFormatting>
  <conditionalFormatting sqref="WZB102">
    <cfRule type="duplicateValues" dxfId="0" priority="120"/>
  </conditionalFormatting>
  <conditionalFormatting sqref="WZI102">
    <cfRule type="duplicateValues" dxfId="0" priority="119"/>
  </conditionalFormatting>
  <conditionalFormatting sqref="WZP102">
    <cfRule type="duplicateValues" dxfId="0" priority="118"/>
  </conditionalFormatting>
  <conditionalFormatting sqref="WZW102">
    <cfRule type="duplicateValues" dxfId="0" priority="117"/>
  </conditionalFormatting>
  <conditionalFormatting sqref="XAD102">
    <cfRule type="duplicateValues" dxfId="0" priority="116"/>
  </conditionalFormatting>
  <conditionalFormatting sqref="XAK102">
    <cfRule type="duplicateValues" dxfId="0" priority="115"/>
  </conditionalFormatting>
  <conditionalFormatting sqref="XAR102">
    <cfRule type="duplicateValues" dxfId="0" priority="114"/>
  </conditionalFormatting>
  <conditionalFormatting sqref="XAY102">
    <cfRule type="duplicateValues" dxfId="0" priority="113"/>
  </conditionalFormatting>
  <conditionalFormatting sqref="XBF102">
    <cfRule type="duplicateValues" dxfId="0" priority="112"/>
  </conditionalFormatting>
  <conditionalFormatting sqref="XBM102">
    <cfRule type="duplicateValues" dxfId="0" priority="111"/>
  </conditionalFormatting>
  <conditionalFormatting sqref="XBT102">
    <cfRule type="duplicateValues" dxfId="0" priority="110"/>
  </conditionalFormatting>
  <conditionalFormatting sqref="XCA102">
    <cfRule type="duplicateValues" dxfId="0" priority="109"/>
  </conditionalFormatting>
  <conditionalFormatting sqref="XCH102">
    <cfRule type="duplicateValues" dxfId="0" priority="108"/>
  </conditionalFormatting>
  <conditionalFormatting sqref="XCO102">
    <cfRule type="duplicateValues" dxfId="0" priority="107"/>
  </conditionalFormatting>
  <conditionalFormatting sqref="XCV102">
    <cfRule type="duplicateValues" dxfId="0" priority="106"/>
  </conditionalFormatting>
  <conditionalFormatting sqref="XDC102">
    <cfRule type="duplicateValues" dxfId="0" priority="105"/>
  </conditionalFormatting>
  <conditionalFormatting sqref="XDJ102">
    <cfRule type="duplicateValues" dxfId="0" priority="104"/>
  </conditionalFormatting>
  <conditionalFormatting sqref="XDQ102">
    <cfRule type="duplicateValues" dxfId="0" priority="103"/>
  </conditionalFormatting>
  <conditionalFormatting sqref="XDX102">
    <cfRule type="duplicateValues" dxfId="0" priority="102"/>
  </conditionalFormatting>
  <conditionalFormatting sqref="XEE102">
    <cfRule type="duplicateValues" dxfId="0" priority="101"/>
  </conditionalFormatting>
  <conditionalFormatting sqref="XEL102">
    <cfRule type="duplicateValues" dxfId="0" priority="100"/>
  </conditionalFormatting>
  <conditionalFormatting sqref="XES102">
    <cfRule type="duplicateValues" dxfId="0" priority="99"/>
  </conditionalFormatting>
  <conditionalFormatting sqref="XEZ102">
    <cfRule type="duplicateValues" dxfId="0" priority="98"/>
  </conditionalFormatting>
  <conditionalFormatting sqref="Q105">
    <cfRule type="duplicateValues" dxfId="0" priority="82"/>
  </conditionalFormatting>
  <conditionalFormatting sqref="Q106">
    <cfRule type="duplicateValues" dxfId="0" priority="81"/>
  </conditionalFormatting>
  <conditionalFormatting sqref="Q107">
    <cfRule type="duplicateValues" dxfId="0" priority="80"/>
  </conditionalFormatting>
  <conditionalFormatting sqref="Q108">
    <cfRule type="duplicateValues" dxfId="0" priority="79"/>
  </conditionalFormatting>
  <conditionalFormatting sqref="Q109">
    <cfRule type="duplicateValues" dxfId="0" priority="78"/>
  </conditionalFormatting>
  <conditionalFormatting sqref="Q110">
    <cfRule type="duplicateValues" dxfId="0" priority="77"/>
  </conditionalFormatting>
  <conditionalFormatting sqref="Q111">
    <cfRule type="duplicateValues" dxfId="0" priority="76"/>
  </conditionalFormatting>
  <conditionalFormatting sqref="Q112">
    <cfRule type="duplicateValues" dxfId="0" priority="75"/>
  </conditionalFormatting>
  <conditionalFormatting sqref="Q113">
    <cfRule type="duplicateValues" dxfId="0" priority="74"/>
  </conditionalFormatting>
  <conditionalFormatting sqref="Q114">
    <cfRule type="duplicateValues" dxfId="0" priority="4782"/>
  </conditionalFormatting>
  <conditionalFormatting sqref="F115">
    <cfRule type="duplicateValues" dxfId="0" priority="39"/>
  </conditionalFormatting>
  <conditionalFormatting sqref="F145">
    <cfRule type="duplicateValues" dxfId="0" priority="6"/>
  </conditionalFormatting>
  <conditionalFormatting sqref="Q145">
    <cfRule type="duplicateValues" dxfId="0" priority="21"/>
  </conditionalFormatting>
  <conditionalFormatting sqref="Q146">
    <cfRule type="duplicateValues" dxfId="0" priority="20"/>
  </conditionalFormatting>
  <conditionalFormatting sqref="F147">
    <cfRule type="duplicateValues" dxfId="0" priority="2"/>
  </conditionalFormatting>
  <conditionalFormatting sqref="Q147">
    <cfRule type="duplicateValues" dxfId="0" priority="19"/>
  </conditionalFormatting>
  <conditionalFormatting sqref="F148">
    <cfRule type="duplicateValues" dxfId="0" priority="3"/>
  </conditionalFormatting>
  <conditionalFormatting sqref="Q148">
    <cfRule type="duplicateValues" dxfId="0" priority="18"/>
  </conditionalFormatting>
  <conditionalFormatting sqref="Q149">
    <cfRule type="duplicateValues" dxfId="0" priority="17"/>
  </conditionalFormatting>
  <conditionalFormatting sqref="F150">
    <cfRule type="duplicateValues" dxfId="0" priority="5"/>
  </conditionalFormatting>
  <conditionalFormatting sqref="Q150">
    <cfRule type="duplicateValues" dxfId="0" priority="16"/>
  </conditionalFormatting>
  <conditionalFormatting sqref="Q151">
    <cfRule type="duplicateValues" dxfId="0" priority="15"/>
  </conditionalFormatting>
  <conditionalFormatting sqref="F152">
    <cfRule type="duplicateValues" dxfId="0" priority="9"/>
  </conditionalFormatting>
  <conditionalFormatting sqref="Q152">
    <cfRule type="duplicateValues" dxfId="0" priority="14"/>
  </conditionalFormatting>
  <conditionalFormatting sqref="Q153">
    <cfRule type="duplicateValues" dxfId="0" priority="13"/>
  </conditionalFormatting>
  <conditionalFormatting sqref="Q154">
    <cfRule type="duplicateValues" dxfId="0" priority="23"/>
  </conditionalFormatting>
  <conditionalFormatting sqref="F155">
    <cfRule type="duplicateValues" dxfId="0" priority="12"/>
  </conditionalFormatting>
  <conditionalFormatting sqref="Q155">
    <cfRule type="duplicateValues" dxfId="0" priority="24"/>
  </conditionalFormatting>
  <conditionalFormatting sqref="F4:F6">
    <cfRule type="duplicateValues" dxfId="0" priority="25"/>
  </conditionalFormatting>
  <conditionalFormatting sqref="F23:F41">
    <cfRule type="duplicateValues" dxfId="0" priority="4816"/>
  </conditionalFormatting>
  <conditionalFormatting sqref="F66:F84">
    <cfRule type="duplicateValues" dxfId="0" priority="4803"/>
  </conditionalFormatting>
  <conditionalFormatting sqref="F125:F127">
    <cfRule type="duplicateValues" dxfId="0" priority="26"/>
  </conditionalFormatting>
  <conditionalFormatting sqref="F151:F154">
    <cfRule type="duplicateValues" dxfId="0" priority="11"/>
  </conditionalFormatting>
  <conditionalFormatting sqref="Q20:Q21">
    <cfRule type="duplicateValues" dxfId="0" priority="4844"/>
  </conditionalFormatting>
  <conditionalFormatting sqref="Q22:Q40">
    <cfRule type="duplicateValues" dxfId="0" priority="4819"/>
  </conditionalFormatting>
  <conditionalFormatting sqref="Q44:Q61">
    <cfRule type="duplicateValues" dxfId="0" priority="4837"/>
  </conditionalFormatting>
  <conditionalFormatting sqref="Q103:Q104">
    <cfRule type="duplicateValues" dxfId="0" priority="93"/>
  </conditionalFormatting>
  <conditionalFormatting sqref="Q143:Q144">
    <cfRule type="duplicateValues" dxfId="0" priority="22"/>
  </conditionalFormatting>
  <conditionalFormatting sqref="F2;F7:F21;F42;F64;F44:F62;F85:F86">
    <cfRule type="duplicateValues" dxfId="0" priority="4821"/>
  </conditionalFormatting>
  <conditionalFormatting sqref="Q43;Q2:Q19;Q64:Q86">
    <cfRule type="duplicateValues" dxfId="0" priority="4898"/>
  </conditionalFormatting>
  <conditionalFormatting sqref="Q89;Q115">
    <cfRule type="duplicateValues" dxfId="0" priority="4794"/>
  </conditionalFormatting>
  <conditionalFormatting sqref="F90;F96;F93">
    <cfRule type="duplicateValues" dxfId="0" priority="95"/>
  </conditionalFormatting>
  <conditionalFormatting sqref="F91;F94;F101;F97:F98">
    <cfRule type="duplicateValues" dxfId="0" priority="4784"/>
  </conditionalFormatting>
  <conditionalFormatting sqref="Q91;Q97:Q100">
    <cfRule type="duplicateValues" dxfId="0" priority="4785"/>
  </conditionalFormatting>
  <conditionalFormatting sqref="F92;F98;F95">
    <cfRule type="duplicateValues" dxfId="0" priority="54"/>
  </conditionalFormatting>
  <conditionalFormatting sqref="F104;F107;F110;F113">
    <cfRule type="duplicateValues" dxfId="0" priority="37"/>
  </conditionalFormatting>
  <conditionalFormatting sqref="F105;F111:F114;F108">
    <cfRule type="duplicateValues" dxfId="0" priority="38"/>
  </conditionalFormatting>
  <conditionalFormatting sqref="F106;F109;F112">
    <cfRule type="duplicateValues" dxfId="0" priority="36"/>
  </conditionalFormatting>
  <conditionalFormatting sqref="F119:F124;F128:F140">
    <cfRule type="duplicateValues" dxfId="0" priority="27"/>
  </conditionalFormatting>
  <conditionalFormatting sqref="F144;F153">
    <cfRule type="duplicateValues" dxfId="0" priority="10"/>
  </conditionalFormatting>
  <conditionalFormatting sqref="F149;F146">
    <cfRule type="duplicateValues" dxfId="0" priority="4"/>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4" sqref="A4"/>
    </sheetView>
  </sheetViews>
  <sheetFormatPr defaultColWidth="9" defaultRowHeight="13.8"/>
  <sheetData>
    <row r="1" ht="14.4" spans="1:1">
      <c r="A1" s="35" t="s">
        <v>251</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31"/>
  <sheetViews>
    <sheetView workbookViewId="0">
      <pane ySplit="1" topLeftCell="A443" activePane="bottomLeft" state="frozen"/>
      <selection/>
      <selection pane="bottomLeft" activeCell="A2" sqref="A2:A487"/>
    </sheetView>
  </sheetViews>
  <sheetFormatPr defaultColWidth="9" defaultRowHeight="16.2" outlineLevelCol="4"/>
  <cols>
    <col min="1" max="1" width="72.5" style="15" customWidth="1"/>
    <col min="2" max="2" width="7.875" style="15" hidden="1" customWidth="1"/>
    <col min="3" max="3" width="98.125" style="16" customWidth="1"/>
    <col min="4" max="4" width="6.25" style="15" customWidth="1"/>
    <col min="5" max="5" width="66" style="15"/>
    <col min="6" max="6" width="16.25" style="15" customWidth="1"/>
    <col min="7" max="16382" width="66" style="15"/>
    <col min="16383" max="16384" width="9" style="17"/>
  </cols>
  <sheetData>
    <row r="1" ht="16.95" spans="1:4">
      <c r="A1" s="18" t="s">
        <v>252</v>
      </c>
      <c r="B1" s="16"/>
      <c r="C1" s="18" t="s">
        <v>253</v>
      </c>
      <c r="D1" s="19"/>
    </row>
    <row r="2" spans="1:1">
      <c r="A2" s="15" t="s">
        <v>254</v>
      </c>
    </row>
    <row r="3" ht="16.95" spans="1:1">
      <c r="A3" s="15" t="s">
        <v>255</v>
      </c>
    </row>
    <row r="4" ht="17.7" spans="1:3">
      <c r="A4" s="20" t="s">
        <v>256</v>
      </c>
      <c r="B4" s="21"/>
      <c r="C4" s="22"/>
    </row>
    <row r="5" ht="16.95" spans="1:5">
      <c r="A5" s="23" t="str">
        <f>CONCATENATE("&lt;loc&gt;",B5,"&lt;/loc&gt;")</f>
        <v>&lt;loc&gt;https://eduardoherreraf.github.io/&lt;/loc&gt;</v>
      </c>
      <c r="B5" s="24" t="str">
        <f>C5</f>
        <v>https://eduardoherreraf.github.io/</v>
      </c>
      <c r="C5" s="25" t="s">
        <v>257</v>
      </c>
      <c r="E5" s="26"/>
    </row>
    <row r="6" spans="1:5">
      <c r="A6" s="23" t="str">
        <f>CONCATENATE("&lt;lastmod&gt;",B6,"&lt;/lastmod&gt;")</f>
        <v>&lt;lastmod&gt;2025-05-20T09:25:57-05:00&lt;/lastmod&gt;</v>
      </c>
      <c r="B6" s="24" t="str">
        <f>$C$1</f>
        <v>2025-05-20T09:25:57-05:00</v>
      </c>
      <c r="C6" s="27"/>
      <c r="E6" s="26"/>
    </row>
    <row r="7" ht="16.95" spans="1:5">
      <c r="A7" s="23" t="str">
        <f>CONCATENATE("&lt;changefreq&gt;",B7,"&lt;/changefreq&gt;")</f>
        <v>&lt;changefreq&gt;yearly&lt;/changefreq&gt;</v>
      </c>
      <c r="B7" s="24" t="s">
        <v>258</v>
      </c>
      <c r="C7" s="27"/>
      <c r="E7" s="26"/>
    </row>
    <row r="8" ht="16.95" spans="1:3">
      <c r="A8" s="23" t="str">
        <f>CONCATENATE("&lt;priority&gt;",B8,"&lt;/priority&gt;")</f>
        <v>&lt;priority&gt;1&lt;/priority&gt;</v>
      </c>
      <c r="B8" s="24">
        <f>C8</f>
        <v>1</v>
      </c>
      <c r="C8" s="28">
        <v>1</v>
      </c>
    </row>
    <row r="9" ht="16.95" spans="1:3">
      <c r="A9" s="29" t="s">
        <v>259</v>
      </c>
      <c r="B9" s="30"/>
      <c r="C9" s="31"/>
    </row>
    <row r="10" ht="17.7" spans="1:3">
      <c r="A10" s="32" t="s">
        <v>260</v>
      </c>
      <c r="B10" s="32"/>
      <c r="C10" s="32"/>
    </row>
    <row r="11" ht="17.7" spans="1:3">
      <c r="A11" s="20" t="s">
        <v>256</v>
      </c>
      <c r="B11" s="21"/>
      <c r="C11" s="22"/>
    </row>
    <row r="12" ht="16.95" spans="1:5">
      <c r="A12" s="23" t="str">
        <f>CONCATENATE("&lt;loc&gt;",B12,"&lt;/loc&gt;")</f>
        <v>&lt;loc&gt;https://eduardoherreraf.github.io/bootstrap.html&lt;/loc&gt;</v>
      </c>
      <c r="B12" s="24" t="str">
        <f>CONCATENATE($C$5,C12)</f>
        <v>https://eduardoherreraf.github.io/bootstrap.html</v>
      </c>
      <c r="C12" s="25" t="s">
        <v>261</v>
      </c>
      <c r="E12" s="26"/>
    </row>
    <row r="13" spans="1:5">
      <c r="A13" s="23" t="str">
        <f>CONCATENATE("&lt;lastmod&gt;",B13,"&lt;/lastmod&gt;")</f>
        <v>&lt;lastmod&gt;2025-05-20T09:25:57-05:00&lt;/lastmod&gt;</v>
      </c>
      <c r="B13" s="24" t="str">
        <f>$C$1</f>
        <v>2025-05-20T09:25:57-05:00</v>
      </c>
      <c r="C13" s="27"/>
      <c r="E13" s="26"/>
    </row>
    <row r="14" ht="16.95" spans="1:5">
      <c r="A14" s="23" t="str">
        <f>CONCATENATE("&lt;changefreq&gt;",B14,"&lt;/changefreq&gt;")</f>
        <v>&lt;changefreq&gt;yearly&lt;/changefreq&gt;</v>
      </c>
      <c r="B14" s="24" t="s">
        <v>258</v>
      </c>
      <c r="C14" s="27"/>
      <c r="E14" s="26"/>
    </row>
    <row r="15" ht="16.95" spans="1:3">
      <c r="A15" s="23" t="str">
        <f>CONCATENATE("&lt;priority&gt;",B15,"&lt;/priority&gt;")</f>
        <v>&lt;priority&gt;0.7&lt;/priority&gt;</v>
      </c>
      <c r="B15" s="24" t="str">
        <f>C15</f>
        <v>0.7</v>
      </c>
      <c r="C15" s="28" t="s">
        <v>262</v>
      </c>
    </row>
    <row r="16" ht="16.95" spans="1:3">
      <c r="A16" s="29" t="s">
        <v>259</v>
      </c>
      <c r="B16" s="30"/>
      <c r="C16" s="31"/>
    </row>
    <row r="17" ht="17.7" spans="1:3">
      <c r="A17" s="20" t="s">
        <v>256</v>
      </c>
      <c r="B17" s="21"/>
      <c r="C17" s="22"/>
    </row>
    <row r="18" ht="16.95" spans="1:5">
      <c r="A18" s="23" t="str">
        <f>CONCATENATE("&lt;loc&gt;",B18,"&lt;/loc&gt;")</f>
        <v>&lt;loc&gt;https://eduardoherreraf.github.io/git.html&lt;/loc&gt;</v>
      </c>
      <c r="B18" s="24" t="str">
        <f>CONCATENATE($C$5,C18)</f>
        <v>https://eduardoherreraf.github.io/git.html</v>
      </c>
      <c r="C18" s="25" t="s">
        <v>263</v>
      </c>
      <c r="E18" s="26"/>
    </row>
    <row r="19" spans="1:5">
      <c r="A19" s="23" t="str">
        <f>CONCATENATE("&lt;lastmod&gt;",B19,"&lt;/lastmod&gt;")</f>
        <v>&lt;lastmod&gt;2025-05-20T09:25:57-05:00&lt;/lastmod&gt;</v>
      </c>
      <c r="B19" s="24" t="str">
        <f>$C$1</f>
        <v>2025-05-20T09:25:57-05:00</v>
      </c>
      <c r="C19" s="27"/>
      <c r="E19" s="26"/>
    </row>
    <row r="20" ht="16.95" spans="1:5">
      <c r="A20" s="23" t="str">
        <f>CONCATENATE("&lt;changefreq&gt;",B20,"&lt;/changefreq&gt;")</f>
        <v>&lt;changefreq&gt;yearly&lt;/changefreq&gt;</v>
      </c>
      <c r="B20" s="24" t="s">
        <v>258</v>
      </c>
      <c r="C20" s="27"/>
      <c r="E20" s="26"/>
    </row>
    <row r="21" ht="16.95" spans="1:3">
      <c r="A21" s="23" t="str">
        <f>CONCATENATE("&lt;priority&gt;",B21,"&lt;/priority&gt;")</f>
        <v>&lt;priority&gt;0.7&lt;/priority&gt;</v>
      </c>
      <c r="B21" s="24" t="str">
        <f>C21</f>
        <v>0.7</v>
      </c>
      <c r="C21" s="28" t="s">
        <v>262</v>
      </c>
    </row>
    <row r="22" ht="16.95" spans="1:3">
      <c r="A22" s="29" t="s">
        <v>259</v>
      </c>
      <c r="B22" s="30"/>
      <c r="C22" s="31"/>
    </row>
    <row r="23" ht="17.7" spans="1:3">
      <c r="A23" s="20" t="s">
        <v>256</v>
      </c>
      <c r="B23" s="21"/>
      <c r="C23" s="22"/>
    </row>
    <row r="24" ht="16.95" spans="1:5">
      <c r="A24" s="23" t="str">
        <f>CONCATENATE("&lt;loc&gt;",B24,"&lt;/loc&gt;")</f>
        <v>&lt;loc&gt;https://eduardoherreraf.github.io/javascript.html&lt;/loc&gt;</v>
      </c>
      <c r="B24" s="24" t="str">
        <f>CONCATENATE($C$5,C24)</f>
        <v>https://eduardoherreraf.github.io/javascript.html</v>
      </c>
      <c r="C24" s="25" t="s">
        <v>264</v>
      </c>
      <c r="E24" s="26"/>
    </row>
    <row r="25" spans="1:5">
      <c r="A25" s="23" t="str">
        <f>CONCATENATE("&lt;lastmod&gt;",B25,"&lt;/lastmod&gt;")</f>
        <v>&lt;lastmod&gt;2025-05-20T09:25:57-05:00&lt;/lastmod&gt;</v>
      </c>
      <c r="B25" s="24" t="str">
        <f>$C$1</f>
        <v>2025-05-20T09:25:57-05:00</v>
      </c>
      <c r="C25" s="27"/>
      <c r="E25" s="26"/>
    </row>
    <row r="26" ht="16.95" spans="1:5">
      <c r="A26" s="23" t="str">
        <f>CONCATENATE("&lt;changefreq&gt;",B26,"&lt;/changefreq&gt;")</f>
        <v>&lt;changefreq&gt;yearly&lt;/changefreq&gt;</v>
      </c>
      <c r="B26" s="24" t="s">
        <v>258</v>
      </c>
      <c r="C26" s="27"/>
      <c r="E26" s="26"/>
    </row>
    <row r="27" ht="16.95" spans="1:3">
      <c r="A27" s="23" t="str">
        <f>CONCATENATE("&lt;priority&gt;",B27,"&lt;/priority&gt;")</f>
        <v>&lt;priority&gt;0.7&lt;/priority&gt;</v>
      </c>
      <c r="B27" s="24" t="str">
        <f>C27</f>
        <v>0.7</v>
      </c>
      <c r="C27" s="28" t="s">
        <v>262</v>
      </c>
    </row>
    <row r="28" ht="16.95" spans="1:3">
      <c r="A28" s="29" t="s">
        <v>259</v>
      </c>
      <c r="B28" s="30"/>
      <c r="C28" s="31"/>
    </row>
    <row r="29" ht="17.7" spans="1:3">
      <c r="A29" s="20" t="s">
        <v>256</v>
      </c>
      <c r="B29" s="21"/>
      <c r="C29" s="22"/>
    </row>
    <row r="30" ht="16.95" spans="1:5">
      <c r="A30" s="23" t="str">
        <f>CONCATENATE("&lt;loc&gt;",B30,"&lt;/loc&gt;")</f>
        <v>&lt;loc&gt;https://eduardoherreraf.github.io/photoshop.html&lt;/loc&gt;</v>
      </c>
      <c r="B30" s="24" t="str">
        <f>CONCATENATE($C$5,C30)</f>
        <v>https://eduardoherreraf.github.io/photoshop.html</v>
      </c>
      <c r="C30" s="25" t="s">
        <v>265</v>
      </c>
      <c r="E30" s="26"/>
    </row>
    <row r="31" spans="1:5">
      <c r="A31" s="23" t="str">
        <f>CONCATENATE("&lt;lastmod&gt;",B31,"&lt;/lastmod&gt;")</f>
        <v>&lt;lastmod&gt;2025-05-20T09:25:57-05:00&lt;/lastmod&gt;</v>
      </c>
      <c r="B31" s="24" t="str">
        <f>$C$1</f>
        <v>2025-05-20T09:25:57-05:00</v>
      </c>
      <c r="C31" s="27"/>
      <c r="E31" s="26"/>
    </row>
    <row r="32" ht="16.95" spans="1:5">
      <c r="A32" s="23" t="str">
        <f>CONCATENATE("&lt;changefreq&gt;",B32,"&lt;/changefreq&gt;")</f>
        <v>&lt;changefreq&gt;yearly&lt;/changefreq&gt;</v>
      </c>
      <c r="B32" s="24" t="s">
        <v>258</v>
      </c>
      <c r="C32" s="27"/>
      <c r="E32" s="26"/>
    </row>
    <row r="33" ht="16.95" spans="1:3">
      <c r="A33" s="23" t="str">
        <f>CONCATENATE("&lt;priority&gt;",B33,"&lt;/priority&gt;")</f>
        <v>&lt;priority&gt;0.7&lt;/priority&gt;</v>
      </c>
      <c r="B33" s="24" t="str">
        <f>C33</f>
        <v>0.7</v>
      </c>
      <c r="C33" s="28" t="s">
        <v>262</v>
      </c>
    </row>
    <row r="34" ht="16.95" spans="1:3">
      <c r="A34" s="29" t="s">
        <v>259</v>
      </c>
      <c r="B34" s="30"/>
      <c r="C34" s="31"/>
    </row>
    <row r="35" ht="17.7" spans="1:3">
      <c r="A35" s="20" t="s">
        <v>256</v>
      </c>
      <c r="B35" s="21"/>
      <c r="C35" s="22"/>
    </row>
    <row r="36" ht="16.95" spans="1:5">
      <c r="A36" s="23" t="str">
        <f>CONCATENATE("&lt;loc&gt;",B36,"&lt;/loc&gt;")</f>
        <v>&lt;loc&gt;https://eduardoherreraf.github.io/otrosTemas.html&lt;/loc&gt;</v>
      </c>
      <c r="B36" s="24" t="str">
        <f>CONCATENATE($C$5,C36)</f>
        <v>https://eduardoherreraf.github.io/otrosTemas.html</v>
      </c>
      <c r="C36" s="25" t="s">
        <v>266</v>
      </c>
      <c r="E36" s="26"/>
    </row>
    <row r="37" spans="1:5">
      <c r="A37" s="23" t="str">
        <f>CONCATENATE("&lt;lastmod&gt;",B37,"&lt;/lastmod&gt;")</f>
        <v>&lt;lastmod&gt;2025-05-20T09:25:57-05:00&lt;/lastmod&gt;</v>
      </c>
      <c r="B37" s="24" t="str">
        <f>$C$1</f>
        <v>2025-05-20T09:25:57-05:00</v>
      </c>
      <c r="C37" s="27"/>
      <c r="E37" s="26"/>
    </row>
    <row r="38" ht="16.95" spans="1:5">
      <c r="A38" s="23" t="str">
        <f>CONCATENATE("&lt;changefreq&gt;",B38,"&lt;/changefreq&gt;")</f>
        <v>&lt;changefreq&gt;yearly&lt;/changefreq&gt;</v>
      </c>
      <c r="B38" s="24" t="s">
        <v>258</v>
      </c>
      <c r="C38" s="27"/>
      <c r="E38" s="26"/>
    </row>
    <row r="39" ht="16.95" spans="1:3">
      <c r="A39" s="23" t="str">
        <f>CONCATENATE("&lt;priority&gt;",B39,"&lt;/priority&gt;")</f>
        <v>&lt;priority&gt;0.7&lt;/priority&gt;</v>
      </c>
      <c r="B39" s="24" t="str">
        <f>C39</f>
        <v>0.7</v>
      </c>
      <c r="C39" s="28" t="s">
        <v>262</v>
      </c>
    </row>
    <row r="40" ht="16.95" spans="1:3">
      <c r="A40" s="29" t="s">
        <v>259</v>
      </c>
      <c r="B40" s="30"/>
      <c r="C40" s="31"/>
    </row>
    <row r="41" ht="17.7" spans="1:3">
      <c r="A41" s="20" t="s">
        <v>256</v>
      </c>
      <c r="B41" s="21"/>
      <c r="C41" s="22"/>
    </row>
    <row r="42" ht="16.95" spans="1:5">
      <c r="A42" s="23" t="str">
        <f>CONCATENATE("&lt;loc&gt;",B42,"&lt;/loc&gt;")</f>
        <v>&lt;loc&gt;https://eduardoherreraf.github.io/cursoPython3.html&lt;/loc&gt;</v>
      </c>
      <c r="B42" s="24" t="str">
        <f>CONCATENATE($C$5,C42)</f>
        <v>https://eduardoherreraf.github.io/cursoPython3.html</v>
      </c>
      <c r="C42" s="25" t="s">
        <v>267</v>
      </c>
      <c r="E42" s="26"/>
    </row>
    <row r="43" spans="1:5">
      <c r="A43" s="23" t="str">
        <f>CONCATENATE("&lt;lastmod&gt;",B43,"&lt;/lastmod&gt;")</f>
        <v>&lt;lastmod&gt;2025-05-20T09:25:57-05:00&lt;/lastmod&gt;</v>
      </c>
      <c r="B43" s="24" t="str">
        <f>$C$1</f>
        <v>2025-05-20T09:25:57-05:00</v>
      </c>
      <c r="C43" s="27"/>
      <c r="E43" s="26"/>
    </row>
    <row r="44" ht="16.95" spans="1:5">
      <c r="A44" s="23" t="str">
        <f>CONCATENATE("&lt;changefreq&gt;",B44,"&lt;/changefreq&gt;")</f>
        <v>&lt;changefreq&gt;yearly&lt;/changefreq&gt;</v>
      </c>
      <c r="B44" s="24" t="s">
        <v>258</v>
      </c>
      <c r="C44" s="27"/>
      <c r="E44" s="26"/>
    </row>
    <row r="45" ht="16.95" spans="1:3">
      <c r="A45" s="23" t="str">
        <f>CONCATENATE("&lt;priority&gt;",B45,"&lt;/priority&gt;")</f>
        <v>&lt;priority&gt;0.7&lt;/priority&gt;</v>
      </c>
      <c r="B45" s="24" t="str">
        <f>C45</f>
        <v>0.7</v>
      </c>
      <c r="C45" s="28" t="s">
        <v>262</v>
      </c>
    </row>
    <row r="46" ht="16.95" spans="1:3">
      <c r="A46" s="29" t="s">
        <v>259</v>
      </c>
      <c r="B46" s="30"/>
      <c r="C46" s="31"/>
    </row>
    <row r="47" ht="17.7" spans="1:3">
      <c r="A47" s="20" t="s">
        <v>256</v>
      </c>
      <c r="B47" s="21"/>
      <c r="C47" s="22"/>
    </row>
    <row r="48" ht="16.95" spans="1:5">
      <c r="A48" s="23" t="str">
        <f>CONCATENATE("&lt;loc&gt;",B48,"&lt;/loc&gt;")</f>
        <v>&lt;loc&gt;https://eduardoherreraf.github.io/html.html&lt;/loc&gt;</v>
      </c>
      <c r="B48" s="24" t="str">
        <f>CONCATENATE($C$5,C48)</f>
        <v>https://eduardoherreraf.github.io/html.html</v>
      </c>
      <c r="C48" s="25" t="s">
        <v>61</v>
      </c>
      <c r="E48" s="26"/>
    </row>
    <row r="49" spans="1:5">
      <c r="A49" s="23" t="str">
        <f>CONCATENATE("&lt;lastmod&gt;",B49,"&lt;/lastmod&gt;")</f>
        <v>&lt;lastmod&gt;2025-05-20T09:25:57-05:00&lt;/lastmod&gt;</v>
      </c>
      <c r="B49" s="24" t="str">
        <f>$C$1</f>
        <v>2025-05-20T09:25:57-05:00</v>
      </c>
      <c r="C49" s="27"/>
      <c r="E49" s="26"/>
    </row>
    <row r="50" ht="16.95" spans="1:5">
      <c r="A50" s="23" t="str">
        <f>CONCATENATE("&lt;changefreq&gt;",B50,"&lt;/changefreq&gt;")</f>
        <v>&lt;changefreq&gt;monthly&lt;/changefreq&gt;</v>
      </c>
      <c r="B50" s="24" t="s">
        <v>268</v>
      </c>
      <c r="C50" s="27"/>
      <c r="E50" s="26"/>
    </row>
    <row r="51" ht="16.95" spans="1:3">
      <c r="A51" s="23" t="str">
        <f>CONCATENATE("&lt;priority&gt;",B51,"&lt;/priority&gt;")</f>
        <v>&lt;priority&gt;0.7&lt;/priority&gt;</v>
      </c>
      <c r="B51" s="24" t="str">
        <f>C51</f>
        <v>0.7</v>
      </c>
      <c r="C51" s="28" t="s">
        <v>262</v>
      </c>
    </row>
    <row r="52" ht="16.95" spans="1:3">
      <c r="A52" s="29" t="s">
        <v>259</v>
      </c>
      <c r="B52" s="30"/>
      <c r="C52" s="31"/>
    </row>
    <row r="53" ht="17.7" spans="1:3">
      <c r="A53" s="20" t="s">
        <v>256</v>
      </c>
      <c r="B53" s="21"/>
      <c r="C53" s="22"/>
    </row>
    <row r="54" ht="16.95" spans="1:5">
      <c r="A54" s="23" t="str">
        <f>CONCATENATE("&lt;loc&gt;",B54,"&lt;/loc&gt;")</f>
        <v>&lt;loc&gt;https://eduardoherreraf.github.io/chatgpt&lt;/loc&gt;</v>
      </c>
      <c r="B54" s="24" t="str">
        <f>CONCATENATE($C$5,C54)</f>
        <v>https://eduardoherreraf.github.io/chatgpt</v>
      </c>
      <c r="C54" s="25" t="s">
        <v>269</v>
      </c>
      <c r="E54" s="26"/>
    </row>
    <row r="55" spans="1:5">
      <c r="A55" s="23" t="str">
        <f>CONCATENATE("&lt;lastmod&gt;",B55,"&lt;/lastmod&gt;")</f>
        <v>&lt;lastmod&gt;2025-05-20T09:25:57-05:00&lt;/lastmod&gt;</v>
      </c>
      <c r="B55" s="24" t="str">
        <f>$C$1</f>
        <v>2025-05-20T09:25:57-05:00</v>
      </c>
      <c r="C55" s="27"/>
      <c r="E55" s="26"/>
    </row>
    <row r="56" ht="16.95" spans="1:5">
      <c r="A56" s="23" t="str">
        <f>CONCATENATE("&lt;changefreq&gt;",B56,"&lt;/changefreq&gt;")</f>
        <v>&lt;changefreq&gt;yearly&lt;/changefreq&gt;</v>
      </c>
      <c r="B56" s="24" t="s">
        <v>258</v>
      </c>
      <c r="C56" s="27"/>
      <c r="E56" s="26"/>
    </row>
    <row r="57" ht="16.95" spans="1:3">
      <c r="A57" s="23" t="str">
        <f>CONCATENATE("&lt;priority&gt;",B57,"&lt;/priority&gt;")</f>
        <v>&lt;priority&gt;0.7&lt;/priority&gt;</v>
      </c>
      <c r="B57" s="24" t="str">
        <f>C57</f>
        <v>0.7</v>
      </c>
      <c r="C57" s="28" t="s">
        <v>262</v>
      </c>
    </row>
    <row r="58" ht="16.95" spans="1:3">
      <c r="A58" s="29" t="s">
        <v>259</v>
      </c>
      <c r="B58" s="30"/>
      <c r="C58" s="31"/>
    </row>
    <row r="59" ht="17.7" spans="1:5">
      <c r="A59" s="32" t="s">
        <v>270</v>
      </c>
      <c r="B59" s="32"/>
      <c r="C59" s="32"/>
      <c r="E59" s="26"/>
    </row>
    <row r="60" ht="17.7" spans="1:3">
      <c r="A60" s="20" t="s">
        <v>256</v>
      </c>
      <c r="B60" s="21"/>
      <c r="C60" s="22"/>
    </row>
    <row r="61" ht="16.95" spans="1:5">
      <c r="A61" s="23" t="str">
        <f>CONCATENATE("&lt;loc&gt;",B61,"&lt;/loc&gt;")</f>
        <v>&lt;loc&gt;https://eduardoherreraf.github.io/bootstrap-instalacion_de_bootstrap_v5_con_npm_y_parcel.html&lt;/loc&gt;</v>
      </c>
      <c r="B61" s="24" t="str">
        <f>CONCATENATE($C$5,C61)</f>
        <v>https://eduardoherreraf.github.io/bootstrap-instalacion_de_bootstrap_v5_con_npm_y_parcel.html</v>
      </c>
      <c r="C61" s="25" t="s">
        <v>271</v>
      </c>
      <c r="E61" s="26"/>
    </row>
    <row r="62" spans="1:5">
      <c r="A62" s="23" t="str">
        <f>CONCATENATE("&lt;lastmod&gt;",B62,"&lt;/lastmod&gt;")</f>
        <v>&lt;lastmod&gt;2025-05-20T09:25:57-05:00&lt;/lastmod&gt;</v>
      </c>
      <c r="B62" s="24" t="str">
        <f>$C$1</f>
        <v>2025-05-20T09:25:57-05:00</v>
      </c>
      <c r="C62" s="27"/>
      <c r="E62" s="26"/>
    </row>
    <row r="63" ht="16.95" spans="1:5">
      <c r="A63" s="23" t="str">
        <f>CONCATENATE("&lt;changefreq&gt;",B63,"&lt;/changefreq&gt;")</f>
        <v>&lt;changefreq&gt;yearly&lt;/changefreq&gt;</v>
      </c>
      <c r="B63" s="24" t="s">
        <v>258</v>
      </c>
      <c r="C63" s="27"/>
      <c r="E63" s="26"/>
    </row>
    <row r="64" ht="16.95" spans="1:3">
      <c r="A64" s="23" t="str">
        <f>CONCATENATE("&lt;priority&gt;",B64,"&lt;/priority&gt;")</f>
        <v>&lt;priority&gt;0.6&lt;/priority&gt;</v>
      </c>
      <c r="B64" s="24" t="str">
        <f>C64</f>
        <v>0.6</v>
      </c>
      <c r="C64" s="28" t="s">
        <v>272</v>
      </c>
    </row>
    <row r="65" ht="16.95" spans="1:3">
      <c r="A65" s="29" t="s">
        <v>259</v>
      </c>
      <c r="B65" s="30"/>
      <c r="C65" s="31"/>
    </row>
    <row r="66" ht="17.7" spans="1:3">
      <c r="A66" s="20" t="s">
        <v>256</v>
      </c>
      <c r="B66" s="21"/>
      <c r="C66" s="22"/>
    </row>
    <row r="67" ht="16.95" spans="1:5">
      <c r="A67" s="23" t="str">
        <f>CONCATENATE("&lt;loc&gt;",B67,"&lt;/loc&gt;")</f>
        <v>&lt;loc&gt;https://eduardoherreraf.github.io/bootstrap-instalacion_de_bootstrap_v5_con_npm_y_vite.html&lt;/loc&gt;</v>
      </c>
      <c r="B67" s="24" t="str">
        <f>CONCATENATE($C$5,C67)</f>
        <v>https://eduardoherreraf.github.io/bootstrap-instalacion_de_bootstrap_v5_con_npm_y_vite.html</v>
      </c>
      <c r="C67" s="25" t="s">
        <v>273</v>
      </c>
      <c r="E67" s="26"/>
    </row>
    <row r="68" spans="1:5">
      <c r="A68" s="23" t="str">
        <f>CONCATENATE("&lt;lastmod&gt;",B68,"&lt;/lastmod&gt;")</f>
        <v>&lt;lastmod&gt;2025-05-20T09:25:57-05:00&lt;/lastmod&gt;</v>
      </c>
      <c r="B68" s="24" t="str">
        <f>$C$1</f>
        <v>2025-05-20T09:25:57-05:00</v>
      </c>
      <c r="C68" s="27"/>
      <c r="E68" s="26"/>
    </row>
    <row r="69" ht="16.95" spans="1:5">
      <c r="A69" s="23" t="str">
        <f>CONCATENATE("&lt;changefreq&gt;",B69,"&lt;/changefreq&gt;")</f>
        <v>&lt;changefreq&gt;yearly&lt;/changefreq&gt;</v>
      </c>
      <c r="B69" s="24" t="s">
        <v>258</v>
      </c>
      <c r="C69" s="27"/>
      <c r="E69" s="26"/>
    </row>
    <row r="70" ht="16.95" spans="1:3">
      <c r="A70" s="23" t="str">
        <f>CONCATENATE("&lt;priority&gt;",B70,"&lt;/priority&gt;")</f>
        <v>&lt;priority&gt;0.6&lt;/priority&gt;</v>
      </c>
      <c r="B70" s="24" t="str">
        <f>C70</f>
        <v>0.6</v>
      </c>
      <c r="C70" s="28" t="s">
        <v>272</v>
      </c>
    </row>
    <row r="71" ht="16.95" spans="1:3">
      <c r="A71" s="29" t="s">
        <v>259</v>
      </c>
      <c r="B71" s="30"/>
      <c r="C71" s="31"/>
    </row>
    <row r="72" ht="17.7" spans="1:5">
      <c r="A72" s="32" t="s">
        <v>274</v>
      </c>
      <c r="B72" s="32"/>
      <c r="C72" s="32"/>
      <c r="E72" s="26"/>
    </row>
    <row r="73" ht="17.7" spans="1:3">
      <c r="A73" s="20" t="s">
        <v>256</v>
      </c>
      <c r="B73" s="21"/>
      <c r="C73" s="22"/>
    </row>
    <row r="74" ht="16.95" spans="1:5">
      <c r="A74" s="23" t="str">
        <f>CONCATENATE("&lt;loc&gt;",B74,"&lt;/loc&gt;")</f>
        <v>&lt;loc&gt;https://eduardoherreraf.github.io/git-01_como_eliminar_el_ultimo_commit_de_git.html&lt;/loc&gt;</v>
      </c>
      <c r="B74" s="24" t="str">
        <f>CONCATENATE($C$5,C74)</f>
        <v>https://eduardoherreraf.github.io/git-01_como_eliminar_el_ultimo_commit_de_git.html</v>
      </c>
      <c r="C74" s="28" t="s">
        <v>275</v>
      </c>
      <c r="E74" s="26"/>
    </row>
    <row r="75" spans="1:5">
      <c r="A75" s="23" t="str">
        <f>CONCATENATE("&lt;lastmod&gt;",B75,"&lt;/lastmod&gt;")</f>
        <v>&lt;lastmod&gt;2025-05-20T09:25:57-05:00&lt;/lastmod&gt;</v>
      </c>
      <c r="B75" s="24" t="str">
        <f>$C$1</f>
        <v>2025-05-20T09:25:57-05:00</v>
      </c>
      <c r="C75" s="27"/>
      <c r="E75" s="26"/>
    </row>
    <row r="76" ht="16.95" spans="1:5">
      <c r="A76" s="23" t="str">
        <f>CONCATENATE("&lt;changefreq&gt;",B76,"&lt;/changefreq&gt;")</f>
        <v>&lt;changefreq&gt;yearly&lt;/changefreq&gt;</v>
      </c>
      <c r="B76" s="24" t="s">
        <v>258</v>
      </c>
      <c r="C76" s="27"/>
      <c r="E76" s="26"/>
    </row>
    <row r="77" ht="16.95" spans="1:3">
      <c r="A77" s="23" t="str">
        <f>CONCATENATE("&lt;priority&gt;",B77,"&lt;/priority&gt;")</f>
        <v>&lt;priority&gt;0.6&lt;/priority&gt;</v>
      </c>
      <c r="B77" s="24" t="str">
        <f>C77</f>
        <v>0.6</v>
      </c>
      <c r="C77" s="28" t="s">
        <v>272</v>
      </c>
    </row>
    <row r="78" ht="16.95" spans="1:3">
      <c r="A78" s="29" t="s">
        <v>259</v>
      </c>
      <c r="B78" s="30"/>
      <c r="C78" s="31"/>
    </row>
    <row r="79" ht="17.7" spans="1:3">
      <c r="A79" s="20" t="s">
        <v>256</v>
      </c>
      <c r="B79" s="21"/>
      <c r="C79" s="22"/>
    </row>
    <row r="80" ht="16.95" spans="1:5">
      <c r="A80" s="23" t="str">
        <f>CONCATENATE("&lt;loc&gt;",B80,"&lt;/loc&gt;")</f>
        <v>&lt;loc&gt;https://eduardoherreraf.github.io/git-02_comandos_basicos_de_consola-terminal_cli_para_windows.html&lt;/loc&gt;</v>
      </c>
      <c r="B80" s="24" t="str">
        <f>CONCATENATE($C$5,C80)</f>
        <v>https://eduardoherreraf.github.io/git-02_comandos_basicos_de_consola-terminal_cli_para_windows.html</v>
      </c>
      <c r="C80" s="28" t="s">
        <v>276</v>
      </c>
      <c r="E80" s="26"/>
    </row>
    <row r="81" spans="1:5">
      <c r="A81" s="23" t="str">
        <f>CONCATENATE("&lt;lastmod&gt;",B81,"&lt;/lastmod&gt;")</f>
        <v>&lt;lastmod&gt;2025-05-20T09:25:57-05:00&lt;/lastmod&gt;</v>
      </c>
      <c r="B81" s="24" t="str">
        <f>$C$1</f>
        <v>2025-05-20T09:25:57-05:00</v>
      </c>
      <c r="C81" s="27"/>
      <c r="E81" s="26"/>
    </row>
    <row r="82" ht="16.95" spans="1:5">
      <c r="A82" s="23" t="str">
        <f>CONCATENATE("&lt;changefreq&gt;",B82,"&lt;/changefreq&gt;")</f>
        <v>&lt;changefreq&gt;yearly&lt;/changefreq&gt;</v>
      </c>
      <c r="B82" s="24" t="s">
        <v>258</v>
      </c>
      <c r="C82" s="27"/>
      <c r="E82" s="26"/>
    </row>
    <row r="83" ht="16.95" spans="1:3">
      <c r="A83" s="23" t="str">
        <f>CONCATENATE("&lt;priority&gt;",B83,"&lt;/priority&gt;")</f>
        <v>&lt;priority&gt;0.6&lt;/priority&gt;</v>
      </c>
      <c r="B83" s="24" t="str">
        <f>C83</f>
        <v>0.6</v>
      </c>
      <c r="C83" s="28" t="s">
        <v>272</v>
      </c>
    </row>
    <row r="84" ht="16.95" spans="1:3">
      <c r="A84" s="29" t="s">
        <v>259</v>
      </c>
      <c r="B84" s="30"/>
      <c r="C84" s="31"/>
    </row>
    <row r="85" ht="17.7" spans="1:3">
      <c r="A85" s="20" t="s">
        <v>256</v>
      </c>
      <c r="B85" s="21"/>
      <c r="C85" s="22"/>
    </row>
    <row r="86" ht="16.95" spans="1:5">
      <c r="A86" s="23" t="str">
        <f>CONCATENATE("&lt;loc&gt;",B86,"&lt;/loc&gt;")</f>
        <v>&lt;loc&gt;https://eduardoherreraf.github.io/git-03_introduccion_de_git_para_windows.html&lt;/loc&gt;</v>
      </c>
      <c r="B86" s="24" t="str">
        <f>CONCATENATE($C$5,C86)</f>
        <v>https://eduardoherreraf.github.io/git-03_introduccion_de_git_para_windows.html</v>
      </c>
      <c r="C86" s="28" t="s">
        <v>277</v>
      </c>
      <c r="E86" s="26"/>
    </row>
    <row r="87" spans="1:5">
      <c r="A87" s="23" t="str">
        <f>CONCATENATE("&lt;lastmod&gt;",B87,"&lt;/lastmod&gt;")</f>
        <v>&lt;lastmod&gt;2025-05-20T09:25:57-05:00&lt;/lastmod&gt;</v>
      </c>
      <c r="B87" s="24" t="str">
        <f>$C$1</f>
        <v>2025-05-20T09:25:57-05:00</v>
      </c>
      <c r="C87" s="27"/>
      <c r="E87" s="26"/>
    </row>
    <row r="88" ht="16.95" spans="1:5">
      <c r="A88" s="23" t="str">
        <f>CONCATENATE("&lt;changefreq&gt;",B88,"&lt;/changefreq&gt;")</f>
        <v>&lt;changefreq&gt;yearly&lt;/changefreq&gt;</v>
      </c>
      <c r="B88" s="24" t="s">
        <v>258</v>
      </c>
      <c r="C88" s="27"/>
      <c r="E88" s="26"/>
    </row>
    <row r="89" ht="16.95" spans="1:3">
      <c r="A89" s="23" t="str">
        <f>CONCATENATE("&lt;priority&gt;",B89,"&lt;/priority&gt;")</f>
        <v>&lt;priority&gt;0.6&lt;/priority&gt;</v>
      </c>
      <c r="B89" s="24" t="str">
        <f>C89</f>
        <v>0.6</v>
      </c>
      <c r="C89" s="28" t="s">
        <v>272</v>
      </c>
    </row>
    <row r="90" ht="16.95" spans="1:3">
      <c r="A90" s="29" t="s">
        <v>259</v>
      </c>
      <c r="B90" s="30"/>
      <c r="C90" s="31"/>
    </row>
    <row r="91" ht="17.7" spans="1:3">
      <c r="A91" s="20" t="s">
        <v>256</v>
      </c>
      <c r="B91" s="21"/>
      <c r="C91" s="22"/>
    </row>
    <row r="92" ht="16.95" spans="1:5">
      <c r="A92" s="23" t="str">
        <f>CONCATENATE("&lt;loc&gt;",B92,"&lt;/loc&gt;")</f>
        <v>&lt;loc&gt;https://eduardoherreraf.github.io/git-04_configuracion_inicial_git.html&lt;/loc&gt;</v>
      </c>
      <c r="B92" s="24" t="str">
        <f>CONCATENATE($C$5,C92)</f>
        <v>https://eduardoherreraf.github.io/git-04_configuracion_inicial_git.html</v>
      </c>
      <c r="C92" s="28" t="s">
        <v>278</v>
      </c>
      <c r="E92" s="26"/>
    </row>
    <row r="93" spans="1:5">
      <c r="A93" s="23" t="str">
        <f>CONCATENATE("&lt;lastmod&gt;",B93,"&lt;/lastmod&gt;")</f>
        <v>&lt;lastmod&gt;2025-05-20T09:25:57-05:00&lt;/lastmod&gt;</v>
      </c>
      <c r="B93" s="24" t="str">
        <f>$C$1</f>
        <v>2025-05-20T09:25:57-05:00</v>
      </c>
      <c r="C93" s="27"/>
      <c r="E93" s="26"/>
    </row>
    <row r="94" ht="16.95" spans="1:5">
      <c r="A94" s="23" t="str">
        <f>CONCATENATE("&lt;changefreq&gt;",B94,"&lt;/changefreq&gt;")</f>
        <v>&lt;changefreq&gt;yearly&lt;/changefreq&gt;</v>
      </c>
      <c r="B94" s="24" t="s">
        <v>258</v>
      </c>
      <c r="C94" s="27"/>
      <c r="E94" s="26"/>
    </row>
    <row r="95" ht="16.95" spans="1:3">
      <c r="A95" s="23" t="str">
        <f>CONCATENATE("&lt;priority&gt;",B95,"&lt;/priority&gt;")</f>
        <v>&lt;priority&gt;0.6&lt;/priority&gt;</v>
      </c>
      <c r="B95" s="24" t="str">
        <f>C95</f>
        <v>0.6</v>
      </c>
      <c r="C95" s="28" t="s">
        <v>272</v>
      </c>
    </row>
    <row r="96" ht="16.95" spans="1:3">
      <c r="A96" s="29" t="s">
        <v>259</v>
      </c>
      <c r="B96" s="30"/>
      <c r="C96" s="31"/>
    </row>
    <row r="97" ht="17.7" spans="1:3">
      <c r="A97" s="20" t="s">
        <v>256</v>
      </c>
      <c r="B97" s="21"/>
      <c r="C97" s="22"/>
    </row>
    <row r="98" ht="16.95" spans="1:3">
      <c r="A98" s="23" t="str">
        <f>CONCATENATE("&lt;loc&gt;",B98,"&lt;/loc&gt;")</f>
        <v>&lt;loc&gt;https://eduardoherreraf.github.io/git-05_reiniciar_repositorio_en_git-github.html&lt;/loc&gt;</v>
      </c>
      <c r="B98" s="24" t="str">
        <f>CONCATENATE($C$5,C98)</f>
        <v>https://eduardoherreraf.github.io/git-05_reiniciar_repositorio_en_git-github.html</v>
      </c>
      <c r="C98" s="28" t="s">
        <v>279</v>
      </c>
    </row>
    <row r="99" spans="1:5">
      <c r="A99" s="23" t="str">
        <f>CONCATENATE("&lt;lastmod&gt;",B99,"&lt;/lastmod&gt;")</f>
        <v>&lt;lastmod&gt;2025-05-20T09:25:57-05:00&lt;/lastmod&gt;</v>
      </c>
      <c r="B99" s="24" t="str">
        <f>$C$1</f>
        <v>2025-05-20T09:25:57-05:00</v>
      </c>
      <c r="C99" s="27"/>
      <c r="E99" s="26"/>
    </row>
    <row r="100" ht="16.95" spans="1:5">
      <c r="A100" s="23" t="str">
        <f>CONCATENATE("&lt;changefreq&gt;",B100,"&lt;/changefreq&gt;")</f>
        <v>&lt;changefreq&gt;yearly&lt;/changefreq&gt;</v>
      </c>
      <c r="B100" s="24" t="s">
        <v>258</v>
      </c>
      <c r="C100" s="27"/>
      <c r="E100" s="26"/>
    </row>
    <row r="101" ht="16.95" spans="1:5">
      <c r="A101" s="23" t="str">
        <f>CONCATENATE("&lt;priority&gt;",B101,"&lt;/priority&gt;")</f>
        <v>&lt;priority&gt;0.6&lt;/priority&gt;</v>
      </c>
      <c r="B101" s="24" t="str">
        <f>C101</f>
        <v>0.6</v>
      </c>
      <c r="C101" s="28" t="s">
        <v>272</v>
      </c>
      <c r="E101" s="26"/>
    </row>
    <row r="102" ht="16.95" spans="1:3">
      <c r="A102" s="29" t="s">
        <v>259</v>
      </c>
      <c r="B102" s="30"/>
      <c r="C102" s="31"/>
    </row>
    <row r="103" ht="17.7" spans="1:3">
      <c r="A103" s="32" t="s">
        <v>280</v>
      </c>
      <c r="B103" s="32"/>
      <c r="C103" s="32"/>
    </row>
    <row r="104" ht="17.7" spans="1:3">
      <c r="A104" s="20" t="s">
        <v>256</v>
      </c>
      <c r="B104" s="21"/>
      <c r="C104" s="22"/>
    </row>
    <row r="105" ht="16.95" spans="1:5">
      <c r="A105" s="23" t="str">
        <f>CONCATENATE("&lt;loc&gt;",B105,"&lt;/loc&gt;")</f>
        <v>&lt;loc&gt;https://eduardoherreraf.github.io/javascript-como_ejecutar_un_codigo_javascript.html&lt;/loc&gt;</v>
      </c>
      <c r="B105" s="24" t="str">
        <f>CONCATENATE($C$5,C105)</f>
        <v>https://eduardoherreraf.github.io/javascript-como_ejecutar_un_codigo_javascript.html</v>
      </c>
      <c r="C105" s="28" t="s">
        <v>281</v>
      </c>
      <c r="E105" s="26"/>
    </row>
    <row r="106" spans="1:5">
      <c r="A106" s="23" t="str">
        <f>CONCATENATE("&lt;lastmod&gt;",B106,"&lt;/lastmod&gt;")</f>
        <v>&lt;lastmod&gt;2025-05-20T09:25:57-05:00&lt;/lastmod&gt;</v>
      </c>
      <c r="B106" s="24" t="str">
        <f>$C$1</f>
        <v>2025-05-20T09:25:57-05:00</v>
      </c>
      <c r="C106" s="27"/>
      <c r="E106" s="26"/>
    </row>
    <row r="107" ht="16.95" spans="1:5">
      <c r="A107" s="23" t="str">
        <f>CONCATENATE("&lt;changefreq&gt;",B107,"&lt;/changefreq&gt;")</f>
        <v>&lt;changefreq&gt;yearly&lt;/changefreq&gt;</v>
      </c>
      <c r="B107" s="24" t="s">
        <v>258</v>
      </c>
      <c r="C107" s="27"/>
      <c r="E107" s="26"/>
    </row>
    <row r="108" ht="16.95" spans="1:3">
      <c r="A108" s="23" t="str">
        <f>CONCATENATE("&lt;priority&gt;",B108,"&lt;/priority&gt;")</f>
        <v>&lt;priority&gt;0.6&lt;/priority&gt;</v>
      </c>
      <c r="B108" s="24" t="str">
        <f>C108</f>
        <v>0.6</v>
      </c>
      <c r="C108" s="28" t="s">
        <v>272</v>
      </c>
    </row>
    <row r="109" ht="16.95" spans="1:3">
      <c r="A109" s="29" t="s">
        <v>259</v>
      </c>
      <c r="B109" s="30"/>
      <c r="C109" s="31"/>
    </row>
    <row r="110" ht="17.7" spans="1:3">
      <c r="A110" s="20" t="s">
        <v>256</v>
      </c>
      <c r="B110" s="21"/>
      <c r="C110" s="22"/>
    </row>
    <row r="111" ht="16.95" spans="1:4">
      <c r="A111" s="23" t="str">
        <f>CONCATENATE("&lt;loc&gt;",B111,"&lt;/loc&gt;")</f>
        <v>&lt;loc&gt;https://eduardoherreraf.github.io/javascript-configurar_el_entorno_de_trabajo_javascript.html&lt;/loc&gt;</v>
      </c>
      <c r="B111" s="24" t="str">
        <f>CONCATENATE($C$5,C111)</f>
        <v>https://eduardoherreraf.github.io/javascript-configurar_el_entorno_de_trabajo_javascript.html</v>
      </c>
      <c r="C111" s="28" t="s">
        <v>282</v>
      </c>
      <c r="D111" s="15" t="s">
        <v>283</v>
      </c>
    </row>
    <row r="112" spans="1:5">
      <c r="A112" s="23" t="str">
        <f>CONCATENATE("&lt;lastmod&gt;",B112,"&lt;/lastmod&gt;")</f>
        <v>&lt;lastmod&gt;2025-05-20T09:25:57-05:00&lt;/lastmod&gt;</v>
      </c>
      <c r="B112" s="24" t="str">
        <f>$C$1</f>
        <v>2025-05-20T09:25:57-05:00</v>
      </c>
      <c r="C112" s="27"/>
      <c r="E112" s="26"/>
    </row>
    <row r="113" ht="16.95" spans="1:5">
      <c r="A113" s="23" t="str">
        <f>CONCATENATE("&lt;changefreq&gt;",B113,"&lt;/changefreq&gt;")</f>
        <v>&lt;changefreq&gt;yearly&lt;/changefreq&gt;</v>
      </c>
      <c r="B113" s="24" t="s">
        <v>258</v>
      </c>
      <c r="C113" s="27"/>
      <c r="E113" s="26"/>
    </row>
    <row r="114" ht="16.95" spans="1:5">
      <c r="A114" s="23" t="str">
        <f>CONCATENATE("&lt;priority&gt;",B114,"&lt;/priority&gt;")</f>
        <v>&lt;priority&gt;0.6&lt;/priority&gt;</v>
      </c>
      <c r="B114" s="24" t="str">
        <f>C114</f>
        <v>0.6</v>
      </c>
      <c r="C114" s="28" t="s">
        <v>272</v>
      </c>
      <c r="E114" s="26"/>
    </row>
    <row r="115" ht="16.95" spans="1:3">
      <c r="A115" s="29" t="s">
        <v>259</v>
      </c>
      <c r="B115" s="30"/>
      <c r="C115" s="31"/>
    </row>
    <row r="116" ht="17.7" spans="1:3">
      <c r="A116" s="32" t="s">
        <v>284</v>
      </c>
      <c r="B116" s="32"/>
      <c r="C116" s="32"/>
    </row>
    <row r="117" ht="17.7" spans="1:3">
      <c r="A117" s="20" t="s">
        <v>256</v>
      </c>
      <c r="B117" s="21"/>
      <c r="C117" s="22"/>
    </row>
    <row r="118" ht="16.95" spans="1:5">
      <c r="A118" s="23" t="str">
        <f>CONCATENATE("&lt;loc&gt;",B118,"&lt;/loc&gt;")</f>
        <v>&lt;loc&gt;https://eduardoherreraf.github.io/photoshop-16_metadatos_y_exportacion.html&lt;/loc&gt;</v>
      </c>
      <c r="B118" s="24" t="str">
        <f>CONCATENATE($C$5,C118)</f>
        <v>https://eduardoherreraf.github.io/photoshop-16_metadatos_y_exportacion.html</v>
      </c>
      <c r="C118" s="28" t="s">
        <v>285</v>
      </c>
      <c r="E118" s="26"/>
    </row>
    <row r="119" spans="1:5">
      <c r="A119" s="23" t="str">
        <f>CONCATENATE("&lt;lastmod&gt;",B119,"&lt;/lastmod&gt;")</f>
        <v>&lt;lastmod&gt;2025-05-20T09:25:57-05:00&lt;/lastmod&gt;</v>
      </c>
      <c r="B119" s="24" t="str">
        <f>$C$1</f>
        <v>2025-05-20T09:25:57-05:00</v>
      </c>
      <c r="C119" s="27"/>
      <c r="E119" s="26"/>
    </row>
    <row r="120" ht="16.95" spans="1:5">
      <c r="A120" s="23" t="str">
        <f>CONCATENATE("&lt;changefreq&gt;",B120,"&lt;/changefreq&gt;")</f>
        <v>&lt;changefreq&gt;yearly&lt;/changefreq&gt;</v>
      </c>
      <c r="B120" s="24" t="s">
        <v>258</v>
      </c>
      <c r="C120" s="27"/>
      <c r="E120" s="26"/>
    </row>
    <row r="121" ht="16.95" spans="1:3">
      <c r="A121" s="23" t="str">
        <f>CONCATENATE("&lt;priority&gt;",B121,"&lt;/priority&gt;")</f>
        <v>&lt;priority&gt;0.6&lt;/priority&gt;</v>
      </c>
      <c r="B121" s="24" t="str">
        <f>C121</f>
        <v>0.6</v>
      </c>
      <c r="C121" s="28" t="s">
        <v>272</v>
      </c>
    </row>
    <row r="122" ht="16.95" spans="1:3">
      <c r="A122" s="29" t="s">
        <v>259</v>
      </c>
      <c r="B122" s="30"/>
      <c r="C122" s="31"/>
    </row>
    <row r="123" ht="17.7" spans="1:3">
      <c r="A123" s="20" t="s">
        <v>256</v>
      </c>
      <c r="B123" s="21"/>
      <c r="C123" s="22"/>
    </row>
    <row r="124" ht="16.95" spans="1:5">
      <c r="A124" s="23" t="str">
        <f>CONCATENATE("&lt;loc&gt;",B124,"&lt;/loc&gt;")</f>
        <v>&lt;loc&gt;https://eduardoherreraf.github.io/photoshop-15_filtros_licuar.html&lt;/loc&gt;</v>
      </c>
      <c r="B124" s="24" t="str">
        <f>CONCATENATE($C$5,C124)</f>
        <v>https://eduardoherreraf.github.io/photoshop-15_filtros_licuar.html</v>
      </c>
      <c r="C124" s="28" t="s">
        <v>286</v>
      </c>
      <c r="E124" s="26"/>
    </row>
    <row r="125" spans="1:5">
      <c r="A125" s="23" t="str">
        <f>CONCATENATE("&lt;lastmod&gt;",B125,"&lt;/lastmod&gt;")</f>
        <v>&lt;lastmod&gt;2025-05-20T09:25:57-05:00&lt;/lastmod&gt;</v>
      </c>
      <c r="B125" s="24" t="str">
        <f>$C$1</f>
        <v>2025-05-20T09:25:57-05:00</v>
      </c>
      <c r="C125" s="27"/>
      <c r="E125" s="26"/>
    </row>
    <row r="126" ht="16.95" spans="1:5">
      <c r="A126" s="23" t="str">
        <f>CONCATENATE("&lt;changefreq&gt;",B126,"&lt;/changefreq&gt;")</f>
        <v>&lt;changefreq&gt;yearly&lt;/changefreq&gt;</v>
      </c>
      <c r="B126" s="24" t="s">
        <v>258</v>
      </c>
      <c r="C126" s="27"/>
      <c r="E126" s="26"/>
    </row>
    <row r="127" ht="16.95" spans="1:3">
      <c r="A127" s="23" t="str">
        <f>CONCATENATE("&lt;priority&gt;",B127,"&lt;/priority&gt;")</f>
        <v>&lt;priority&gt;0.6&lt;/priority&gt;</v>
      </c>
      <c r="B127" s="24" t="str">
        <f>C127</f>
        <v>0.6</v>
      </c>
      <c r="C127" s="28" t="s">
        <v>272</v>
      </c>
    </row>
    <row r="128" ht="16.95" spans="1:3">
      <c r="A128" s="29" t="s">
        <v>259</v>
      </c>
      <c r="B128" s="30"/>
      <c r="C128" s="31"/>
    </row>
    <row r="129" ht="17.7" spans="1:3">
      <c r="A129" s="20" t="s">
        <v>256</v>
      </c>
      <c r="B129" s="21"/>
      <c r="C129" s="22"/>
    </row>
    <row r="130" ht="16.95" spans="1:5">
      <c r="A130" s="23" t="str">
        <f>CONCATENATE("&lt;loc&gt;",B130,"&lt;/loc&gt;")</f>
        <v>&lt;loc&gt;https://eduardoherreraf.github.io/photoshop-14_filtros_neurales.html&lt;/loc&gt;</v>
      </c>
      <c r="B130" s="24" t="str">
        <f>CONCATENATE($C$5,C130)</f>
        <v>https://eduardoherreraf.github.io/photoshop-14_filtros_neurales.html</v>
      </c>
      <c r="C130" s="28" t="s">
        <v>287</v>
      </c>
      <c r="E130" s="26"/>
    </row>
    <row r="131" spans="1:5">
      <c r="A131" s="23" t="str">
        <f>CONCATENATE("&lt;lastmod&gt;",B131,"&lt;/lastmod&gt;")</f>
        <v>&lt;lastmod&gt;2025-05-20T09:25:57-05:00&lt;/lastmod&gt;</v>
      </c>
      <c r="B131" s="24" t="str">
        <f>$C$1</f>
        <v>2025-05-20T09:25:57-05:00</v>
      </c>
      <c r="C131" s="27"/>
      <c r="E131" s="26"/>
    </row>
    <row r="132" ht="16.95" spans="1:5">
      <c r="A132" s="23" t="str">
        <f>CONCATENATE("&lt;changefreq&gt;",B132,"&lt;/changefreq&gt;")</f>
        <v>&lt;changefreq&gt;yearly&lt;/changefreq&gt;</v>
      </c>
      <c r="B132" s="24" t="s">
        <v>258</v>
      </c>
      <c r="C132" s="27"/>
      <c r="E132" s="26"/>
    </row>
    <row r="133" ht="16.95" spans="1:3">
      <c r="A133" s="23" t="str">
        <f>CONCATENATE("&lt;priority&gt;",B133,"&lt;/priority&gt;")</f>
        <v>&lt;priority&gt;0.6&lt;/priority&gt;</v>
      </c>
      <c r="B133" s="24" t="str">
        <f>C133</f>
        <v>0.6</v>
      </c>
      <c r="C133" s="28" t="s">
        <v>272</v>
      </c>
    </row>
    <row r="134" ht="16.95" spans="1:3">
      <c r="A134" s="29" t="s">
        <v>259</v>
      </c>
      <c r="B134" s="30"/>
      <c r="C134" s="31"/>
    </row>
    <row r="135" ht="17.7" spans="1:3">
      <c r="A135" s="20" t="s">
        <v>256</v>
      </c>
      <c r="B135" s="21"/>
      <c r="C135" s="22"/>
    </row>
    <row r="136" ht="16.95" spans="1:5">
      <c r="A136" s="23" t="str">
        <f>CONCATENATE("&lt;loc&gt;",B136,"&lt;/loc&gt;")</f>
        <v>&lt;loc&gt;https://eduardoherreraf.github.io/photoshop-13_filtros.html&lt;/loc&gt;</v>
      </c>
      <c r="B136" s="24" t="str">
        <f>CONCATENATE($C$5,C136)</f>
        <v>https://eduardoherreraf.github.io/photoshop-13_filtros.html</v>
      </c>
      <c r="C136" s="28" t="s">
        <v>288</v>
      </c>
      <c r="E136" s="26"/>
    </row>
    <row r="137" spans="1:5">
      <c r="A137" s="23" t="str">
        <f>CONCATENATE("&lt;lastmod&gt;",B137,"&lt;/lastmod&gt;")</f>
        <v>&lt;lastmod&gt;2025-05-20T09:25:57-05:00&lt;/lastmod&gt;</v>
      </c>
      <c r="B137" s="24" t="str">
        <f>$C$1</f>
        <v>2025-05-20T09:25:57-05:00</v>
      </c>
      <c r="C137" s="27"/>
      <c r="E137" s="26"/>
    </row>
    <row r="138" ht="16.95" spans="1:5">
      <c r="A138" s="23" t="str">
        <f>CONCATENATE("&lt;changefreq&gt;",B138,"&lt;/changefreq&gt;")</f>
        <v>&lt;changefreq&gt;yearly&lt;/changefreq&gt;</v>
      </c>
      <c r="B138" s="24" t="s">
        <v>258</v>
      </c>
      <c r="C138" s="27"/>
      <c r="E138" s="26"/>
    </row>
    <row r="139" ht="16.95" spans="1:3">
      <c r="A139" s="23" t="str">
        <f>CONCATENATE("&lt;priority&gt;",B139,"&lt;/priority&gt;")</f>
        <v>&lt;priority&gt;0.6&lt;/priority&gt;</v>
      </c>
      <c r="B139" s="24" t="str">
        <f>C139</f>
        <v>0.6</v>
      </c>
      <c r="C139" s="28" t="s">
        <v>272</v>
      </c>
    </row>
    <row r="140" ht="16.95" spans="1:3">
      <c r="A140" s="29" t="s">
        <v>259</v>
      </c>
      <c r="B140" s="30"/>
      <c r="C140" s="31"/>
    </row>
    <row r="141" ht="17.7" spans="1:3">
      <c r="A141" s="20" t="s">
        <v>256</v>
      </c>
      <c r="B141" s="21"/>
      <c r="C141" s="22"/>
    </row>
    <row r="142" ht="16.95" spans="1:5">
      <c r="A142" s="23" t="str">
        <f>CONCATENATE("&lt;loc&gt;",B142,"&lt;/loc&gt;")</f>
        <v>&lt;loc&gt;https://eduardoherreraf.github.io/photoshop-12_formas_y_capas.html&lt;/loc&gt;</v>
      </c>
      <c r="B142" s="24" t="str">
        <f>CONCATENATE($C$5,C142)</f>
        <v>https://eduardoherreraf.github.io/photoshop-12_formas_y_capas.html</v>
      </c>
      <c r="C142" s="28" t="s">
        <v>289</v>
      </c>
      <c r="E142" s="26"/>
    </row>
    <row r="143" spans="1:5">
      <c r="A143" s="23" t="str">
        <f>CONCATENATE("&lt;lastmod&gt;",B143,"&lt;/lastmod&gt;")</f>
        <v>&lt;lastmod&gt;2025-05-20T09:25:57-05:00&lt;/lastmod&gt;</v>
      </c>
      <c r="B143" s="24" t="str">
        <f>$C$1</f>
        <v>2025-05-20T09:25:57-05:00</v>
      </c>
      <c r="C143" s="27"/>
      <c r="E143" s="26"/>
    </row>
    <row r="144" ht="16.95" spans="1:5">
      <c r="A144" s="23" t="str">
        <f>CONCATENATE("&lt;changefreq&gt;",B144,"&lt;/changefreq&gt;")</f>
        <v>&lt;changefreq&gt;yearly&lt;/changefreq&gt;</v>
      </c>
      <c r="B144" s="24" t="s">
        <v>258</v>
      </c>
      <c r="C144" s="27"/>
      <c r="E144" s="26"/>
    </row>
    <row r="145" ht="16.95" spans="1:3">
      <c r="A145" s="23" t="str">
        <f>CONCATENATE("&lt;priority&gt;",B145,"&lt;/priority&gt;")</f>
        <v>&lt;priority&gt;0.6&lt;/priority&gt;</v>
      </c>
      <c r="B145" s="24" t="str">
        <f>C145</f>
        <v>0.6</v>
      </c>
      <c r="C145" s="28" t="s">
        <v>272</v>
      </c>
    </row>
    <row r="146" ht="16.95" spans="1:3">
      <c r="A146" s="29" t="s">
        <v>259</v>
      </c>
      <c r="B146" s="30"/>
      <c r="C146" s="31"/>
    </row>
    <row r="147" ht="17.7" spans="1:3">
      <c r="A147" s="20" t="s">
        <v>256</v>
      </c>
      <c r="B147" s="21"/>
      <c r="C147" s="22"/>
    </row>
    <row r="148" ht="16.95" spans="1:5">
      <c r="A148" s="23" t="str">
        <f>CONCATENATE("&lt;loc&gt;",B148,"&lt;/loc&gt;")</f>
        <v>&lt;loc&gt;https://eduardoherreraf.github.io/photoshop-11_textos.html&lt;/loc&gt;</v>
      </c>
      <c r="B148" s="24" t="str">
        <f>CONCATENATE($C$5,C148)</f>
        <v>https://eduardoherreraf.github.io/photoshop-11_textos.html</v>
      </c>
      <c r="C148" s="28" t="s">
        <v>290</v>
      </c>
      <c r="E148" s="26"/>
    </row>
    <row r="149" spans="1:5">
      <c r="A149" s="23" t="str">
        <f>CONCATENATE("&lt;lastmod&gt;",B149,"&lt;/lastmod&gt;")</f>
        <v>&lt;lastmod&gt;2025-05-20T09:25:57-05:00&lt;/lastmod&gt;</v>
      </c>
      <c r="B149" s="24" t="str">
        <f>$C$1</f>
        <v>2025-05-20T09:25:57-05:00</v>
      </c>
      <c r="C149" s="27"/>
      <c r="E149" s="26"/>
    </row>
    <row r="150" ht="16.95" spans="1:5">
      <c r="A150" s="23" t="str">
        <f>CONCATENATE("&lt;changefreq&gt;",B150,"&lt;/changefreq&gt;")</f>
        <v>&lt;changefreq&gt;yearly&lt;/changefreq&gt;</v>
      </c>
      <c r="B150" s="24" t="s">
        <v>258</v>
      </c>
      <c r="C150" s="27"/>
      <c r="E150" s="26"/>
    </row>
    <row r="151" ht="16.95" spans="1:3">
      <c r="A151" s="23" t="str">
        <f>CONCATENATE("&lt;priority&gt;",B151,"&lt;/priority&gt;")</f>
        <v>&lt;priority&gt;0.6&lt;/priority&gt;</v>
      </c>
      <c r="B151" s="24" t="str">
        <f>C151</f>
        <v>0.6</v>
      </c>
      <c r="C151" s="28" t="s">
        <v>272</v>
      </c>
    </row>
    <row r="152" ht="16.95" spans="1:3">
      <c r="A152" s="29" t="s">
        <v>259</v>
      </c>
      <c r="B152" s="30"/>
      <c r="C152" s="31"/>
    </row>
    <row r="153" ht="17.7" spans="1:3">
      <c r="A153" s="20" t="s">
        <v>256</v>
      </c>
      <c r="B153" s="21"/>
      <c r="C153" s="22"/>
    </row>
    <row r="154" ht="16.95" spans="1:5">
      <c r="A154" s="23" t="str">
        <f>CONCATENATE("&lt;loc&gt;",B154,"&lt;/loc&gt;")</f>
        <v>&lt;loc&gt;https://eduardoherreraf.github.io/photoshop-10_color_y_degradados.html&lt;/loc&gt;</v>
      </c>
      <c r="B154" s="24" t="str">
        <f>CONCATENATE($C$5,C154)</f>
        <v>https://eduardoherreraf.github.io/photoshop-10_color_y_degradados.html</v>
      </c>
      <c r="C154" s="28" t="s">
        <v>291</v>
      </c>
      <c r="E154" s="26"/>
    </row>
    <row r="155" spans="1:5">
      <c r="A155" s="23" t="str">
        <f>CONCATENATE("&lt;lastmod&gt;",B155,"&lt;/lastmod&gt;")</f>
        <v>&lt;lastmod&gt;2025-05-20T09:25:57-05:00&lt;/lastmod&gt;</v>
      </c>
      <c r="B155" s="24" t="str">
        <f>$C$1</f>
        <v>2025-05-20T09:25:57-05:00</v>
      </c>
      <c r="C155" s="27"/>
      <c r="E155" s="26"/>
    </row>
    <row r="156" ht="16.95" spans="1:5">
      <c r="A156" s="23" t="str">
        <f>CONCATENATE("&lt;changefreq&gt;",B156,"&lt;/changefreq&gt;")</f>
        <v>&lt;changefreq&gt;yearly&lt;/changefreq&gt;</v>
      </c>
      <c r="B156" s="24" t="s">
        <v>258</v>
      </c>
      <c r="C156" s="27"/>
      <c r="E156" s="26"/>
    </row>
    <row r="157" ht="16.95" spans="1:3">
      <c r="A157" s="23" t="str">
        <f>CONCATENATE("&lt;priority&gt;",B157,"&lt;/priority&gt;")</f>
        <v>&lt;priority&gt;0.6&lt;/priority&gt;</v>
      </c>
      <c r="B157" s="24" t="str">
        <f>C157</f>
        <v>0.6</v>
      </c>
      <c r="C157" s="28" t="s">
        <v>272</v>
      </c>
    </row>
    <row r="158" ht="16.95" spans="1:3">
      <c r="A158" s="29" t="s">
        <v>259</v>
      </c>
      <c r="B158" s="30"/>
      <c r="C158" s="31"/>
    </row>
    <row r="159" ht="17.7" spans="1:3">
      <c r="A159" s="20" t="s">
        <v>256</v>
      </c>
      <c r="B159" s="21"/>
      <c r="C159" s="22"/>
    </row>
    <row r="160" ht="16.95" spans="1:5">
      <c r="A160" s="23" t="str">
        <f>CONCATENATE("&lt;loc&gt;",B160,"&lt;/loc&gt;")</f>
        <v>&lt;loc&gt;https://eduardoherreraf.github.io/photoshop-09_uso_de_pinceles.html&lt;/loc&gt;</v>
      </c>
      <c r="B160" s="24" t="str">
        <f>CONCATENATE($C$5,C160)</f>
        <v>https://eduardoherreraf.github.io/photoshop-09_uso_de_pinceles.html</v>
      </c>
      <c r="C160" s="28" t="s">
        <v>292</v>
      </c>
      <c r="E160" s="26"/>
    </row>
    <row r="161" spans="1:5">
      <c r="A161" s="23" t="str">
        <f>CONCATENATE("&lt;lastmod&gt;",B161,"&lt;/lastmod&gt;")</f>
        <v>&lt;lastmod&gt;2025-05-20T09:25:57-05:00&lt;/lastmod&gt;</v>
      </c>
      <c r="B161" s="24" t="str">
        <f>$C$1</f>
        <v>2025-05-20T09:25:57-05:00</v>
      </c>
      <c r="C161" s="27"/>
      <c r="E161" s="26"/>
    </row>
    <row r="162" ht="16.95" spans="1:5">
      <c r="A162" s="23" t="str">
        <f>CONCATENATE("&lt;changefreq&gt;",B162,"&lt;/changefreq&gt;")</f>
        <v>&lt;changefreq&gt;yearly&lt;/changefreq&gt;</v>
      </c>
      <c r="B162" s="24" t="s">
        <v>258</v>
      </c>
      <c r="C162" s="27"/>
      <c r="E162" s="26"/>
    </row>
    <row r="163" ht="16.95" spans="1:3">
      <c r="A163" s="23" t="str">
        <f>CONCATENATE("&lt;priority&gt;",B163,"&lt;/priority&gt;")</f>
        <v>&lt;priority&gt;0.6&lt;/priority&gt;</v>
      </c>
      <c r="B163" s="24" t="str">
        <f>C163</f>
        <v>0.6</v>
      </c>
      <c r="C163" s="28" t="s">
        <v>272</v>
      </c>
    </row>
    <row r="164" ht="16.95" spans="1:3">
      <c r="A164" s="29" t="s">
        <v>259</v>
      </c>
      <c r="B164" s="30"/>
      <c r="C164" s="31"/>
    </row>
    <row r="165" ht="17.7" spans="1:3">
      <c r="A165" s="20" t="s">
        <v>256</v>
      </c>
      <c r="B165" s="21"/>
      <c r="C165" s="22"/>
    </row>
    <row r="166" ht="16.95" spans="1:5">
      <c r="A166" s="23" t="str">
        <f>CONCATENATE("&lt;loc&gt;",B166,"&lt;/loc&gt;")</f>
        <v>&lt;loc&gt;https://eduardoherreraf.github.io/photoshop-08_agregar_y_quitar_objetos.html&lt;/loc&gt;</v>
      </c>
      <c r="B166" s="24" t="str">
        <f>CONCATENATE($C$5,C166)</f>
        <v>https://eduardoherreraf.github.io/photoshop-08_agregar_y_quitar_objetos.html</v>
      </c>
      <c r="C166" s="28" t="s">
        <v>293</v>
      </c>
      <c r="E166" s="26"/>
    </row>
    <row r="167" spans="1:5">
      <c r="A167" s="23" t="str">
        <f>CONCATENATE("&lt;lastmod&gt;",B167,"&lt;/lastmod&gt;")</f>
        <v>&lt;lastmod&gt;2025-05-20T09:25:57-05:00&lt;/lastmod&gt;</v>
      </c>
      <c r="B167" s="24" t="str">
        <f>$C$1</f>
        <v>2025-05-20T09:25:57-05:00</v>
      </c>
      <c r="C167" s="27"/>
      <c r="E167" s="26"/>
    </row>
    <row r="168" ht="16.95" spans="1:5">
      <c r="A168" s="23" t="str">
        <f>CONCATENATE("&lt;changefreq&gt;",B168,"&lt;/changefreq&gt;")</f>
        <v>&lt;changefreq&gt;yearly&lt;/changefreq&gt;</v>
      </c>
      <c r="B168" s="24" t="s">
        <v>258</v>
      </c>
      <c r="C168" s="27"/>
      <c r="E168" s="26"/>
    </row>
    <row r="169" ht="16.95" spans="1:3">
      <c r="A169" s="23" t="str">
        <f>CONCATENATE("&lt;priority&gt;",B169,"&lt;/priority&gt;")</f>
        <v>&lt;priority&gt;0.6&lt;/priority&gt;</v>
      </c>
      <c r="B169" s="24" t="str">
        <f>C169</f>
        <v>0.6</v>
      </c>
      <c r="C169" s="28" t="s">
        <v>272</v>
      </c>
    </row>
    <row r="170" ht="16.95" spans="1:3">
      <c r="A170" s="29" t="s">
        <v>259</v>
      </c>
      <c r="B170" s="30"/>
      <c r="C170" s="31"/>
    </row>
    <row r="171" ht="17.7" spans="1:3">
      <c r="A171" s="20" t="s">
        <v>256</v>
      </c>
      <c r="B171" s="21"/>
      <c r="C171" s="22"/>
    </row>
    <row r="172" ht="16.95" spans="1:5">
      <c r="A172" s="23" t="str">
        <f>CONCATENATE("&lt;loc&gt;",B172,"&lt;/loc&gt;")</f>
        <v>&lt;loc&gt;https://eduardoherreraf.github.io/photoshop-07_herramientas_de_seleccion.html&lt;/loc&gt;</v>
      </c>
      <c r="B172" s="24" t="str">
        <f>CONCATENATE($C$5,C172)</f>
        <v>https://eduardoherreraf.github.io/photoshop-07_herramientas_de_seleccion.html</v>
      </c>
      <c r="C172" s="28" t="s">
        <v>294</v>
      </c>
      <c r="E172" s="26"/>
    </row>
    <row r="173" spans="1:5">
      <c r="A173" s="23" t="str">
        <f>CONCATENATE("&lt;lastmod&gt;",B173,"&lt;/lastmod&gt;")</f>
        <v>&lt;lastmod&gt;2025-05-20T09:25:57-05:00&lt;/lastmod&gt;</v>
      </c>
      <c r="B173" s="24" t="str">
        <f>$C$1</f>
        <v>2025-05-20T09:25:57-05:00</v>
      </c>
      <c r="C173" s="27"/>
      <c r="E173" s="26"/>
    </row>
    <row r="174" ht="16.95" spans="1:5">
      <c r="A174" s="23" t="str">
        <f>CONCATENATE("&lt;changefreq&gt;",B174,"&lt;/changefreq&gt;")</f>
        <v>&lt;changefreq&gt;yearly&lt;/changefreq&gt;</v>
      </c>
      <c r="B174" s="24" t="s">
        <v>258</v>
      </c>
      <c r="C174" s="27"/>
      <c r="E174" s="26"/>
    </row>
    <row r="175" ht="16.95" spans="1:3">
      <c r="A175" s="23" t="str">
        <f>CONCATENATE("&lt;priority&gt;",B175,"&lt;/priority&gt;")</f>
        <v>&lt;priority&gt;0.6&lt;/priority&gt;</v>
      </c>
      <c r="B175" s="24" t="str">
        <f>C175</f>
        <v>0.6</v>
      </c>
      <c r="C175" s="28" t="s">
        <v>272</v>
      </c>
    </row>
    <row r="176" ht="16.95" spans="1:3">
      <c r="A176" s="29" t="s">
        <v>259</v>
      </c>
      <c r="B176" s="30"/>
      <c r="C176" s="31"/>
    </row>
    <row r="177" ht="17.7" spans="1:3">
      <c r="A177" s="20" t="s">
        <v>256</v>
      </c>
      <c r="B177" s="21"/>
      <c r="C177" s="22"/>
    </row>
    <row r="178" ht="16.95" spans="1:5">
      <c r="A178" s="23" t="str">
        <f>CONCATENATE("&lt;loc&gt;",B178,"&lt;/loc&gt;")</f>
        <v>&lt;loc&gt;https://eduardoherreraf.github.io/photoshop-06_ajuste_tono_brillo_y_saturacion.html&lt;/loc&gt;</v>
      </c>
      <c r="B178" s="24" t="str">
        <f>CONCATENATE($C$5,C178)</f>
        <v>https://eduardoherreraf.github.io/photoshop-06_ajuste_tono_brillo_y_saturacion.html</v>
      </c>
      <c r="C178" s="28" t="s">
        <v>295</v>
      </c>
      <c r="E178" s="26"/>
    </row>
    <row r="179" spans="1:5">
      <c r="A179" s="23" t="str">
        <f>CONCATENATE("&lt;lastmod&gt;",B179,"&lt;/lastmod&gt;")</f>
        <v>&lt;lastmod&gt;2025-05-20T09:25:57-05:00&lt;/lastmod&gt;</v>
      </c>
      <c r="B179" s="24" t="str">
        <f>$C$1</f>
        <v>2025-05-20T09:25:57-05:00</v>
      </c>
      <c r="C179" s="27"/>
      <c r="E179" s="26"/>
    </row>
    <row r="180" ht="16.95" spans="1:5">
      <c r="A180" s="23" t="str">
        <f>CONCATENATE("&lt;changefreq&gt;",B180,"&lt;/changefreq&gt;")</f>
        <v>&lt;changefreq&gt;yearly&lt;/changefreq&gt;</v>
      </c>
      <c r="B180" s="24" t="s">
        <v>258</v>
      </c>
      <c r="C180" s="27"/>
      <c r="E180" s="26"/>
    </row>
    <row r="181" ht="16.95" spans="1:3">
      <c r="A181" s="23" t="str">
        <f>CONCATENATE("&lt;priority&gt;",B181,"&lt;/priority&gt;")</f>
        <v>&lt;priority&gt;0.6&lt;/priority&gt;</v>
      </c>
      <c r="B181" s="24" t="str">
        <f>C181</f>
        <v>0.6</v>
      </c>
      <c r="C181" s="28" t="s">
        <v>272</v>
      </c>
    </row>
    <row r="182" ht="16.95" spans="1:3">
      <c r="A182" s="29" t="s">
        <v>259</v>
      </c>
      <c r="B182" s="30"/>
      <c r="C182" s="31"/>
    </row>
    <row r="183" ht="17.7" spans="1:3">
      <c r="A183" s="20" t="s">
        <v>256</v>
      </c>
      <c r="B183" s="21"/>
      <c r="C183" s="22"/>
    </row>
    <row r="184" ht="16.95" spans="1:5">
      <c r="A184" s="23" t="str">
        <f>CONCATENATE("&lt;loc&gt;",B184,"&lt;/loc&gt;")</f>
        <v>&lt;loc&gt;https://eduardoherreraf.github.io/photoshop-05_trabajo_con_capas.html&lt;/loc&gt;</v>
      </c>
      <c r="B184" s="24" t="str">
        <f>CONCATENATE($C$5,C184)</f>
        <v>https://eduardoherreraf.github.io/photoshop-05_trabajo_con_capas.html</v>
      </c>
      <c r="C184" s="28" t="s">
        <v>296</v>
      </c>
      <c r="E184" s="26"/>
    </row>
    <row r="185" spans="1:5">
      <c r="A185" s="23" t="str">
        <f>CONCATENATE("&lt;lastmod&gt;",B185,"&lt;/lastmod&gt;")</f>
        <v>&lt;lastmod&gt;2025-05-20T09:25:57-05:00&lt;/lastmod&gt;</v>
      </c>
      <c r="B185" s="24" t="str">
        <f>$C$1</f>
        <v>2025-05-20T09:25:57-05:00</v>
      </c>
      <c r="C185" s="27"/>
      <c r="E185" s="26"/>
    </row>
    <row r="186" ht="16.95" spans="1:5">
      <c r="A186" s="23" t="str">
        <f>CONCATENATE("&lt;changefreq&gt;",B186,"&lt;/changefreq&gt;")</f>
        <v>&lt;changefreq&gt;yearly&lt;/changefreq&gt;</v>
      </c>
      <c r="B186" s="24" t="s">
        <v>258</v>
      </c>
      <c r="C186" s="27"/>
      <c r="E186" s="26"/>
    </row>
    <row r="187" ht="16.95" spans="1:3">
      <c r="A187" s="23" t="str">
        <f>CONCATENATE("&lt;priority&gt;",B187,"&lt;/priority&gt;")</f>
        <v>&lt;priority&gt;0.6&lt;/priority&gt;</v>
      </c>
      <c r="B187" s="24" t="str">
        <f>C187</f>
        <v>0.6</v>
      </c>
      <c r="C187" s="28" t="s">
        <v>272</v>
      </c>
    </row>
    <row r="188" ht="16.95" spans="1:3">
      <c r="A188" s="29" t="s">
        <v>259</v>
      </c>
      <c r="B188" s="30"/>
      <c r="C188" s="31"/>
    </row>
    <row r="189" ht="17.7" spans="1:3">
      <c r="A189" s="20" t="s">
        <v>256</v>
      </c>
      <c r="B189" s="21"/>
      <c r="C189" s="22"/>
    </row>
    <row r="190" ht="16.95" spans="1:5">
      <c r="A190" s="23" t="str">
        <f>CONCATENATE("&lt;loc&gt;",B190,"&lt;/loc&gt;")</f>
        <v>&lt;loc&gt;https://eduardoherreraf.github.io/photoshop-04_ajuste_lienzo_resolucion.html&lt;/loc&gt;</v>
      </c>
      <c r="B190" s="24" t="str">
        <f>CONCATENATE($C$5,C190)</f>
        <v>https://eduardoherreraf.github.io/photoshop-04_ajuste_lienzo_resolucion.html</v>
      </c>
      <c r="C190" s="28" t="s">
        <v>297</v>
      </c>
      <c r="E190" s="26"/>
    </row>
    <row r="191" spans="1:5">
      <c r="A191" s="23" t="str">
        <f>CONCATENATE("&lt;lastmod&gt;",B191,"&lt;/lastmod&gt;")</f>
        <v>&lt;lastmod&gt;2025-05-20T09:25:57-05:00&lt;/lastmod&gt;</v>
      </c>
      <c r="B191" s="24" t="str">
        <f>$C$1</f>
        <v>2025-05-20T09:25:57-05:00</v>
      </c>
      <c r="C191" s="27"/>
      <c r="E191" s="26"/>
    </row>
    <row r="192" ht="16.95" spans="1:5">
      <c r="A192" s="23" t="str">
        <f>CONCATENATE("&lt;changefreq&gt;",B192,"&lt;/changefreq&gt;")</f>
        <v>&lt;changefreq&gt;yearly&lt;/changefreq&gt;</v>
      </c>
      <c r="B192" s="24" t="s">
        <v>258</v>
      </c>
      <c r="C192" s="27"/>
      <c r="E192" s="26"/>
    </row>
    <row r="193" ht="16.95" spans="1:3">
      <c r="A193" s="23" t="str">
        <f>CONCATENATE("&lt;priority&gt;",B193,"&lt;/priority&gt;")</f>
        <v>&lt;priority&gt;0.6&lt;/priority&gt;</v>
      </c>
      <c r="B193" s="24" t="str">
        <f>C193</f>
        <v>0.6</v>
      </c>
      <c r="C193" s="28" t="s">
        <v>272</v>
      </c>
    </row>
    <row r="194" ht="16.95" spans="1:3">
      <c r="A194" s="29" t="s">
        <v>259</v>
      </c>
      <c r="B194" s="30"/>
      <c r="C194" s="31"/>
    </row>
    <row r="195" ht="17.7" spans="1:3">
      <c r="A195" s="20" t="s">
        <v>256</v>
      </c>
      <c r="B195" s="21"/>
      <c r="C195" s="22"/>
    </row>
    <row r="196" ht="16.95" spans="1:5">
      <c r="A196" s="23" t="str">
        <f>CONCATENATE("&lt;loc&gt;",B196,"&lt;/loc&gt;")</f>
        <v>&lt;loc&gt;https://eduardoherreraf.github.io/photoshop-03_compartir_y_editar_archivos.html&lt;/loc&gt;</v>
      </c>
      <c r="B196" s="24" t="str">
        <f>CONCATENATE($C$5,C196)</f>
        <v>https://eduardoherreraf.github.io/photoshop-03_compartir_y_editar_archivos.html</v>
      </c>
      <c r="C196" s="28" t="s">
        <v>298</v>
      </c>
      <c r="E196" s="26"/>
    </row>
    <row r="197" spans="1:5">
      <c r="A197" s="23" t="str">
        <f>CONCATENATE("&lt;lastmod&gt;",B197,"&lt;/lastmod&gt;")</f>
        <v>&lt;lastmod&gt;2025-05-20T09:25:57-05:00&lt;/lastmod&gt;</v>
      </c>
      <c r="B197" s="24" t="str">
        <f>$C$1</f>
        <v>2025-05-20T09:25:57-05:00</v>
      </c>
      <c r="C197" s="27"/>
      <c r="E197" s="26"/>
    </row>
    <row r="198" ht="16.95" spans="1:5">
      <c r="A198" s="23" t="str">
        <f>CONCATENATE("&lt;changefreq&gt;",B198,"&lt;/changefreq&gt;")</f>
        <v>&lt;changefreq&gt;yearly&lt;/changefreq&gt;</v>
      </c>
      <c r="B198" s="24" t="s">
        <v>258</v>
      </c>
      <c r="C198" s="27"/>
      <c r="E198" s="26"/>
    </row>
    <row r="199" ht="16.95" spans="1:3">
      <c r="A199" s="23" t="str">
        <f>CONCATENATE("&lt;priority&gt;",B199,"&lt;/priority&gt;")</f>
        <v>&lt;priority&gt;0.6&lt;/priority&gt;</v>
      </c>
      <c r="B199" s="24" t="str">
        <f>C199</f>
        <v>0.6</v>
      </c>
      <c r="C199" s="28" t="s">
        <v>272</v>
      </c>
    </row>
    <row r="200" ht="16.95" spans="1:3">
      <c r="A200" s="29" t="s">
        <v>259</v>
      </c>
      <c r="B200" s="30"/>
      <c r="C200" s="31"/>
    </row>
    <row r="201" ht="17.7" spans="1:3">
      <c r="A201" s="20" t="s">
        <v>256</v>
      </c>
      <c r="B201" s="21"/>
      <c r="C201" s="22"/>
    </row>
    <row r="202" ht="16.95" spans="1:5">
      <c r="A202" s="23" t="str">
        <f>CONCATENATE("&lt;loc&gt;",B202,"&lt;/loc&gt;")</f>
        <v>&lt;loc&gt;https://eduardoherreraf.github.io/photoshop-02_interfaz_y_area_de_trabajo.html&lt;/loc&gt;</v>
      </c>
      <c r="B202" s="24" t="str">
        <f>CONCATENATE($C$5,C202)</f>
        <v>https://eduardoherreraf.github.io/photoshop-02_interfaz_y_area_de_trabajo.html</v>
      </c>
      <c r="C202" s="28" t="s">
        <v>299</v>
      </c>
      <c r="E202" s="26"/>
    </row>
    <row r="203" spans="1:5">
      <c r="A203" s="23" t="str">
        <f>CONCATENATE("&lt;lastmod&gt;",B203,"&lt;/lastmod&gt;")</f>
        <v>&lt;lastmod&gt;2025-05-20T09:25:57-05:00&lt;/lastmod&gt;</v>
      </c>
      <c r="B203" s="24" t="str">
        <f>$C$1</f>
        <v>2025-05-20T09:25:57-05:00</v>
      </c>
      <c r="C203" s="27"/>
      <c r="E203" s="26"/>
    </row>
    <row r="204" ht="16.95" spans="1:5">
      <c r="A204" s="23" t="str">
        <f>CONCATENATE("&lt;changefreq&gt;",B204,"&lt;/changefreq&gt;")</f>
        <v>&lt;changefreq&gt;yearly&lt;/changefreq&gt;</v>
      </c>
      <c r="B204" s="24" t="s">
        <v>258</v>
      </c>
      <c r="C204" s="27"/>
      <c r="E204" s="26"/>
    </row>
    <row r="205" ht="16.95" spans="1:3">
      <c r="A205" s="23" t="str">
        <f>CONCATENATE("&lt;priority&gt;",B205,"&lt;/priority&gt;")</f>
        <v>&lt;priority&gt;0.6&lt;/priority&gt;</v>
      </c>
      <c r="B205" s="24" t="str">
        <f>C205</f>
        <v>0.6</v>
      </c>
      <c r="C205" s="28" t="s">
        <v>272</v>
      </c>
    </row>
    <row r="206" ht="16.95" spans="1:3">
      <c r="A206" s="29" t="s">
        <v>259</v>
      </c>
      <c r="B206" s="30"/>
      <c r="C206" s="31"/>
    </row>
    <row r="207" ht="17.7" spans="1:3">
      <c r="A207" s="20" t="s">
        <v>256</v>
      </c>
      <c r="B207" s="21"/>
      <c r="C207" s="22"/>
    </row>
    <row r="208" ht="16.95" spans="1:3">
      <c r="A208" s="23" t="str">
        <f>CONCATENATE("&lt;loc&gt;",B208,"&lt;/loc&gt;")</f>
        <v>&lt;loc&gt;https://eduardoherreraf.github.io/photoshop-01_comenzando_un_proyecto.html&lt;/loc&gt;</v>
      </c>
      <c r="B208" s="24" t="str">
        <f>CONCATENATE($C$5,C208)</f>
        <v>https://eduardoherreraf.github.io/photoshop-01_comenzando_un_proyecto.html</v>
      </c>
      <c r="C208" s="28" t="s">
        <v>300</v>
      </c>
    </row>
    <row r="209" spans="1:5">
      <c r="A209" s="23" t="str">
        <f>CONCATENATE("&lt;lastmod&gt;",B209,"&lt;/lastmod&gt;")</f>
        <v>&lt;lastmod&gt;2025-05-20T09:25:57-05:00&lt;/lastmod&gt;</v>
      </c>
      <c r="B209" s="24" t="str">
        <f>$C$1</f>
        <v>2025-05-20T09:25:57-05:00</v>
      </c>
      <c r="C209" s="27"/>
      <c r="E209" s="26"/>
    </row>
    <row r="210" ht="16.95" spans="1:5">
      <c r="A210" s="23" t="str">
        <f>CONCATENATE("&lt;changefreq&gt;",B210,"&lt;/changefreq&gt;")</f>
        <v>&lt;changefreq&gt;yearly&lt;/changefreq&gt;</v>
      </c>
      <c r="B210" s="24" t="s">
        <v>258</v>
      </c>
      <c r="C210" s="27"/>
      <c r="E210" s="26"/>
    </row>
    <row r="211" ht="16.95" spans="1:5">
      <c r="A211" s="23" t="str">
        <f>CONCATENATE("&lt;priority&gt;",B211,"&lt;/priority&gt;")</f>
        <v>&lt;priority&gt;0.6&lt;/priority&gt;</v>
      </c>
      <c r="B211" s="24" t="str">
        <f>C211</f>
        <v>0.6</v>
      </c>
      <c r="C211" s="28" t="s">
        <v>272</v>
      </c>
      <c r="E211" s="26"/>
    </row>
    <row r="212" ht="16.95" spans="1:3">
      <c r="A212" s="29" t="s">
        <v>259</v>
      </c>
      <c r="B212" s="30"/>
      <c r="C212" s="31"/>
    </row>
    <row r="213" ht="17.7" spans="1:3">
      <c r="A213" s="32" t="s">
        <v>301</v>
      </c>
      <c r="B213" s="32"/>
      <c r="C213" s="32"/>
    </row>
    <row r="214" ht="17.7" spans="1:3">
      <c r="A214" s="20" t="s">
        <v>256</v>
      </c>
      <c r="B214" s="21"/>
      <c r="C214" s="22"/>
    </row>
    <row r="215" ht="16.95" spans="1:5">
      <c r="A215" s="23" t="str">
        <f>CONCATENATE("&lt;loc&gt;",B215,"&lt;/loc&gt;")</f>
        <v>&lt;loc&gt;https://eduardoherreraf.github.io/chatgpt-01_como_aprender_cualquier_habilidad_facilmente_con_chatgpt.html&lt;/loc&gt;</v>
      </c>
      <c r="B215" s="24" t="str">
        <f>CONCATENATE($C$5,C215)</f>
        <v>https://eduardoherreraf.github.io/chatgpt-01_como_aprender_cualquier_habilidad_facilmente_con_chatgpt.html</v>
      </c>
      <c r="C215" s="28" t="s">
        <v>302</v>
      </c>
      <c r="E215" s="26"/>
    </row>
    <row r="216" spans="1:5">
      <c r="A216" s="23" t="str">
        <f>CONCATENATE("&lt;lastmod&gt;",B216,"&lt;/lastmod&gt;")</f>
        <v>&lt;lastmod&gt;2025-05-20T09:25:57-05:00&lt;/lastmod&gt;</v>
      </c>
      <c r="B216" s="24" t="str">
        <f>$C$1</f>
        <v>2025-05-20T09:25:57-05:00</v>
      </c>
      <c r="C216" s="27"/>
      <c r="E216" s="26"/>
    </row>
    <row r="217" ht="16.95" spans="1:5">
      <c r="A217" s="23" t="str">
        <f>CONCATENATE("&lt;changefreq&gt;",B217,"&lt;/changefreq&gt;")</f>
        <v>&lt;changefreq&gt;yearly&lt;/changefreq&gt;</v>
      </c>
      <c r="B217" s="24" t="s">
        <v>258</v>
      </c>
      <c r="C217" s="27"/>
      <c r="E217" s="26"/>
    </row>
    <row r="218" ht="16.95" spans="1:3">
      <c r="A218" s="23" t="str">
        <f>CONCATENATE("&lt;priority&gt;",B218,"&lt;/priority&gt;")</f>
        <v>&lt;priority&gt;0.6&lt;/priority&gt;</v>
      </c>
      <c r="B218" s="24" t="str">
        <f>C218</f>
        <v>0.6</v>
      </c>
      <c r="C218" s="28" t="s">
        <v>272</v>
      </c>
    </row>
    <row r="219" ht="16.95" spans="1:3">
      <c r="A219" s="29" t="s">
        <v>259</v>
      </c>
      <c r="B219" s="30"/>
      <c r="C219" s="31"/>
    </row>
    <row r="220" ht="17.7" spans="1:3">
      <c r="A220" s="32" t="s">
        <v>303</v>
      </c>
      <c r="B220" s="32"/>
      <c r="C220" s="32"/>
    </row>
    <row r="221" ht="17.7" spans="1:3">
      <c r="A221" s="20" t="s">
        <v>256</v>
      </c>
      <c r="B221" s="21"/>
      <c r="C221" s="22"/>
    </row>
    <row r="222" ht="16.95" spans="1:3">
      <c r="A222" s="23" t="str">
        <f>CONCATENATE("&lt;loc&gt;",B222,"&lt;/loc&gt;")</f>
        <v>&lt;loc&gt;https://eduardoherreraf.github.io/otrosTemas-01_como_borrar_la_cache_y_archivos_basura_en_windows.html&lt;/loc&gt;</v>
      </c>
      <c r="B222" s="24" t="str">
        <f>CONCATENATE($C$5,C222)</f>
        <v>https://eduardoherreraf.github.io/otrosTemas-01_como_borrar_la_cache_y_archivos_basura_en_windows.html</v>
      </c>
      <c r="C222" s="28" t="s">
        <v>304</v>
      </c>
    </row>
    <row r="223" spans="1:5">
      <c r="A223" s="23" t="str">
        <f>CONCATENATE("&lt;lastmod&gt;",B223,"&lt;/lastmod&gt;")</f>
        <v>&lt;lastmod&gt;2025-05-20T09:25:57-05:00&lt;/lastmod&gt;</v>
      </c>
      <c r="B223" s="24" t="str">
        <f>$C$1</f>
        <v>2025-05-20T09:25:57-05:00</v>
      </c>
      <c r="C223" s="27"/>
      <c r="E223" s="26"/>
    </row>
    <row r="224" ht="16.95" spans="1:5">
      <c r="A224" s="23" t="str">
        <f>CONCATENATE("&lt;changefreq&gt;",B224,"&lt;/changefreq&gt;")</f>
        <v>&lt;changefreq&gt;yearly&lt;/changefreq&gt;</v>
      </c>
      <c r="B224" s="24" t="s">
        <v>258</v>
      </c>
      <c r="C224" s="27"/>
      <c r="E224" s="26"/>
    </row>
    <row r="225" ht="16.95" spans="1:5">
      <c r="A225" s="23" t="str">
        <f>CONCATENATE("&lt;priority&gt;",B225,"&lt;/priority&gt;")</f>
        <v>&lt;priority&gt;0.6&lt;/priority&gt;</v>
      </c>
      <c r="B225" s="24" t="str">
        <f>C225</f>
        <v>0.6</v>
      </c>
      <c r="C225" s="28" t="s">
        <v>272</v>
      </c>
      <c r="E225" s="26"/>
    </row>
    <row r="226" ht="16.95" spans="1:3">
      <c r="A226" s="29" t="s">
        <v>259</v>
      </c>
      <c r="B226" s="30"/>
      <c r="C226" s="31"/>
    </row>
    <row r="227" ht="17.7" spans="1:3">
      <c r="A227" s="32" t="s">
        <v>305</v>
      </c>
      <c r="B227" s="32"/>
      <c r="C227" s="32"/>
    </row>
    <row r="228" ht="17.7" spans="1:3">
      <c r="A228" s="20" t="s">
        <v>256</v>
      </c>
      <c r="B228" s="21"/>
      <c r="C228" s="22"/>
    </row>
    <row r="229" ht="16.95" spans="1:5">
      <c r="A229" s="23" t="str">
        <f>CONCATENATE("&lt;loc&gt;",B229,"&lt;/loc&gt;")</f>
        <v>&lt;loc&gt;https://eduardoherreraf.github.io/cursoPython3-0101_introduccion.html&lt;/loc&gt;</v>
      </c>
      <c r="B229" s="24" t="str">
        <f>CONCATENATE($C$5,C229)</f>
        <v>https://eduardoherreraf.github.io/cursoPython3-0101_introduccion.html</v>
      </c>
      <c r="C229" s="28" t="s">
        <v>306</v>
      </c>
      <c r="E229" s="26"/>
    </row>
    <row r="230" spans="1:5">
      <c r="A230" s="23" t="str">
        <f>CONCATENATE("&lt;lastmod&gt;",B230,"&lt;/lastmod&gt;")</f>
        <v>&lt;lastmod&gt;2025-05-20T09:25:57-05:00&lt;/lastmod&gt;</v>
      </c>
      <c r="B230" s="24" t="str">
        <f>$C$1</f>
        <v>2025-05-20T09:25:57-05:00</v>
      </c>
      <c r="C230" s="27"/>
      <c r="E230" s="26"/>
    </row>
    <row r="231" ht="16.95" spans="1:5">
      <c r="A231" s="23" t="str">
        <f>CONCATENATE("&lt;changefreq&gt;",B231,"&lt;/changefreq&gt;")</f>
        <v>&lt;changefreq&gt;yearly&lt;/changefreq&gt;</v>
      </c>
      <c r="B231" s="24" t="s">
        <v>258</v>
      </c>
      <c r="C231" s="27"/>
      <c r="E231" s="26"/>
    </row>
    <row r="232" ht="16.95" spans="1:3">
      <c r="A232" s="23" t="str">
        <f>CONCATENATE("&lt;priority&gt;",B232,"&lt;/priority&gt;")</f>
        <v>&lt;priority&gt;0.6&lt;/priority&gt;</v>
      </c>
      <c r="B232" s="24" t="str">
        <f>C232</f>
        <v>0.6</v>
      </c>
      <c r="C232" s="28" t="s">
        <v>272</v>
      </c>
    </row>
    <row r="233" ht="16.95" spans="1:3">
      <c r="A233" s="29" t="s">
        <v>259</v>
      </c>
      <c r="B233" s="30"/>
      <c r="C233" s="31"/>
    </row>
    <row r="234" ht="17.7" spans="1:3">
      <c r="A234" s="20" t="s">
        <v>256</v>
      </c>
      <c r="B234" s="21"/>
      <c r="C234" s="22"/>
    </row>
    <row r="235" ht="16.95" spans="1:5">
      <c r="A235" s="23" t="str">
        <f>CONCATENATE("&lt;loc&gt;",B235,"&lt;/loc&gt;")</f>
        <v>&lt;loc&gt;https://eduardoherreraf.github.io/cursoPython3-0102_instalacion_de_python_localmente.html&lt;/loc&gt;</v>
      </c>
      <c r="B235" s="24" t="str">
        <f>CONCATENATE($C$5,C235)</f>
        <v>https://eduardoherreraf.github.io/cursoPython3-0102_instalacion_de_python_localmente.html</v>
      </c>
      <c r="C235" s="28" t="s">
        <v>307</v>
      </c>
      <c r="E235" s="26"/>
    </row>
    <row r="236" spans="1:5">
      <c r="A236" s="23" t="str">
        <f>CONCATENATE("&lt;lastmod&gt;",B236,"&lt;/lastmod&gt;")</f>
        <v>&lt;lastmod&gt;2025-05-20T09:25:57-05:00&lt;/lastmod&gt;</v>
      </c>
      <c r="B236" s="24" t="str">
        <f>$C$1</f>
        <v>2025-05-20T09:25:57-05:00</v>
      </c>
      <c r="C236" s="27"/>
      <c r="E236" s="26"/>
    </row>
    <row r="237" ht="16.95" spans="1:5">
      <c r="A237" s="23" t="str">
        <f>CONCATENATE("&lt;changefreq&gt;",B237,"&lt;/changefreq&gt;")</f>
        <v>&lt;changefreq&gt;yearly&lt;/changefreq&gt;</v>
      </c>
      <c r="B237" s="24" t="s">
        <v>258</v>
      </c>
      <c r="C237" s="27"/>
      <c r="E237" s="26"/>
    </row>
    <row r="238" ht="16.95" spans="1:3">
      <c r="A238" s="23" t="str">
        <f>CONCATENATE("&lt;priority&gt;",B238,"&lt;/priority&gt;")</f>
        <v>&lt;priority&gt;0.6&lt;/priority&gt;</v>
      </c>
      <c r="B238" s="24" t="str">
        <f>C238</f>
        <v>0.6</v>
      </c>
      <c r="C238" s="28" t="s">
        <v>272</v>
      </c>
    </row>
    <row r="239" ht="16.95" spans="1:3">
      <c r="A239" s="29" t="s">
        <v>259</v>
      </c>
      <c r="B239" s="30"/>
      <c r="C239" s="31"/>
    </row>
    <row r="240" ht="17.7" spans="1:3">
      <c r="A240" s="20" t="s">
        <v>256</v>
      </c>
      <c r="B240" s="21"/>
      <c r="C240" s="22"/>
    </row>
    <row r="241" ht="16.95" spans="1:5">
      <c r="A241" s="23" t="str">
        <f>CONCATENATE("&lt;loc&gt;",B241,"&lt;/loc&gt;")</f>
        <v>&lt;loc&gt;https://eduardoherreraf.github.io/cursoPython3-0201_funcion_print.html&lt;/loc&gt;</v>
      </c>
      <c r="B241" s="24" t="str">
        <f>CONCATENATE($C$5,C241)</f>
        <v>https://eduardoherreraf.github.io/cursoPython3-0201_funcion_print.html</v>
      </c>
      <c r="C241" s="28" t="s">
        <v>308</v>
      </c>
      <c r="E241" s="26"/>
    </row>
    <row r="242" spans="1:5">
      <c r="A242" s="23" t="str">
        <f>CONCATENATE("&lt;lastmod&gt;",B242,"&lt;/lastmod&gt;")</f>
        <v>&lt;lastmod&gt;2025-05-20T09:25:57-05:00&lt;/lastmod&gt;</v>
      </c>
      <c r="B242" s="24" t="str">
        <f>$C$1</f>
        <v>2025-05-20T09:25:57-05:00</v>
      </c>
      <c r="C242" s="27"/>
      <c r="E242" s="26"/>
    </row>
    <row r="243" ht="16.95" spans="1:5">
      <c r="A243" s="23" t="str">
        <f>CONCATENATE("&lt;changefreq&gt;",B243,"&lt;/changefreq&gt;")</f>
        <v>&lt;changefreq&gt;yearly&lt;/changefreq&gt;</v>
      </c>
      <c r="B243" s="24" t="s">
        <v>258</v>
      </c>
      <c r="C243" s="27"/>
      <c r="E243" s="26"/>
    </row>
    <row r="244" ht="16.95" spans="1:3">
      <c r="A244" s="23" t="str">
        <f>CONCATENATE("&lt;priority&gt;",B244,"&lt;/priority&gt;")</f>
        <v>&lt;priority&gt;0.6&lt;/priority&gt;</v>
      </c>
      <c r="B244" s="24" t="str">
        <f>C244</f>
        <v>0.6</v>
      </c>
      <c r="C244" s="28" t="s">
        <v>272</v>
      </c>
    </row>
    <row r="245" ht="16.95" spans="1:3">
      <c r="A245" s="29" t="s">
        <v>259</v>
      </c>
      <c r="B245" s="30"/>
      <c r="C245" s="31"/>
    </row>
    <row r="246" ht="17.7" spans="1:3">
      <c r="A246" s="20" t="s">
        <v>256</v>
      </c>
      <c r="B246" s="21"/>
      <c r="C246" s="22"/>
    </row>
    <row r="247" ht="16.95" spans="1:5">
      <c r="A247" s="23" t="str">
        <f>CONCATENATE("&lt;loc&gt;",B247,"&lt;/loc&gt;")</f>
        <v>&lt;loc&gt;https://eduardoherreraf.github.io/cursoPython3-0202_literales.html&lt;/loc&gt;</v>
      </c>
      <c r="B247" s="24" t="str">
        <f>CONCATENATE($C$5,C247)</f>
        <v>https://eduardoherreraf.github.io/cursoPython3-0202_literales.html</v>
      </c>
      <c r="C247" s="28" t="s">
        <v>309</v>
      </c>
      <c r="E247" s="26"/>
    </row>
    <row r="248" spans="1:5">
      <c r="A248" s="23" t="str">
        <f>CONCATENATE("&lt;lastmod&gt;",B248,"&lt;/lastmod&gt;")</f>
        <v>&lt;lastmod&gt;2025-05-20T09:25:57-05:00&lt;/lastmod&gt;</v>
      </c>
      <c r="B248" s="24" t="str">
        <f>$C$1</f>
        <v>2025-05-20T09:25:57-05:00</v>
      </c>
      <c r="C248" s="27"/>
      <c r="E248" s="26"/>
    </row>
    <row r="249" ht="16.95" spans="1:5">
      <c r="A249" s="23" t="str">
        <f>CONCATENATE("&lt;changefreq&gt;",B249,"&lt;/changefreq&gt;")</f>
        <v>&lt;changefreq&gt;yearly&lt;/changefreq&gt;</v>
      </c>
      <c r="B249" s="24" t="s">
        <v>258</v>
      </c>
      <c r="C249" s="27"/>
      <c r="E249" s="26"/>
    </row>
    <row r="250" ht="16.95" spans="1:3">
      <c r="A250" s="23" t="str">
        <f>CONCATENATE("&lt;priority&gt;",B250,"&lt;/priority&gt;")</f>
        <v>&lt;priority&gt;0.6&lt;/priority&gt;</v>
      </c>
      <c r="B250" s="24" t="str">
        <f>C250</f>
        <v>0.6</v>
      </c>
      <c r="C250" s="28" t="s">
        <v>272</v>
      </c>
    </row>
    <row r="251" ht="16.95" spans="1:3">
      <c r="A251" s="29" t="s">
        <v>259</v>
      </c>
      <c r="B251" s="30"/>
      <c r="C251" s="31"/>
    </row>
    <row r="252" ht="17.7" spans="1:3">
      <c r="A252" s="20" t="s">
        <v>256</v>
      </c>
      <c r="B252" s="21"/>
      <c r="C252" s="22"/>
    </row>
    <row r="253" ht="16.95" spans="1:5">
      <c r="A253" s="23" t="str">
        <f>CONCATENATE("&lt;loc&gt;",B253,"&lt;/loc&gt;")</f>
        <v>&lt;loc&gt;https://eduardoherreraf.github.io/cursoPython3-0203_operadores.html&lt;/loc&gt;</v>
      </c>
      <c r="B253" s="24" t="str">
        <f>CONCATENATE($C$5,C253)</f>
        <v>https://eduardoherreraf.github.io/cursoPython3-0203_operadores.html</v>
      </c>
      <c r="C253" s="28" t="s">
        <v>310</v>
      </c>
      <c r="E253" s="26"/>
    </row>
    <row r="254" spans="1:5">
      <c r="A254" s="23" t="str">
        <f>CONCATENATE("&lt;lastmod&gt;",B254,"&lt;/lastmod&gt;")</f>
        <v>&lt;lastmod&gt;2025-05-20T09:25:57-05:00&lt;/lastmod&gt;</v>
      </c>
      <c r="B254" s="24" t="str">
        <f>$C$1</f>
        <v>2025-05-20T09:25:57-05:00</v>
      </c>
      <c r="C254" s="27"/>
      <c r="E254" s="26"/>
    </row>
    <row r="255" ht="16.95" spans="1:5">
      <c r="A255" s="23" t="str">
        <f>CONCATENATE("&lt;changefreq&gt;",B255,"&lt;/changefreq&gt;")</f>
        <v>&lt;changefreq&gt;yearly&lt;/changefreq&gt;</v>
      </c>
      <c r="B255" s="24" t="s">
        <v>258</v>
      </c>
      <c r="C255" s="27"/>
      <c r="E255" s="26"/>
    </row>
    <row r="256" ht="16.95" spans="1:3">
      <c r="A256" s="23" t="str">
        <f>CONCATENATE("&lt;priority&gt;",B256,"&lt;/priority&gt;")</f>
        <v>&lt;priority&gt;0.6&lt;/priority&gt;</v>
      </c>
      <c r="B256" s="24" t="str">
        <f>C256</f>
        <v>0.6</v>
      </c>
      <c r="C256" s="28" t="s">
        <v>272</v>
      </c>
    </row>
    <row r="257" ht="16.95" spans="1:3">
      <c r="A257" s="29" t="s">
        <v>259</v>
      </c>
      <c r="B257" s="30"/>
      <c r="C257" s="31"/>
    </row>
    <row r="258" ht="17.7" spans="1:3">
      <c r="A258" s="20" t="s">
        <v>256</v>
      </c>
      <c r="B258" s="21"/>
      <c r="C258" s="22"/>
    </row>
    <row r="259" ht="16.95" spans="1:5">
      <c r="A259" s="23" t="str">
        <f>CONCATENATE("&lt;loc&gt;",B259,"&lt;/loc&gt;")</f>
        <v>&lt;loc&gt;https://eduardoherreraf.github.io/cursoPython3-0204_variables.html&lt;/loc&gt;</v>
      </c>
      <c r="B259" s="24" t="str">
        <f>CONCATENATE($C$5,C259)</f>
        <v>https://eduardoherreraf.github.io/cursoPython3-0204_variables.html</v>
      </c>
      <c r="C259" s="28" t="s">
        <v>311</v>
      </c>
      <c r="E259" s="26"/>
    </row>
    <row r="260" spans="1:5">
      <c r="A260" s="23" t="str">
        <f>CONCATENATE("&lt;lastmod&gt;",B260,"&lt;/lastmod&gt;")</f>
        <v>&lt;lastmod&gt;2025-05-20T09:25:57-05:00&lt;/lastmod&gt;</v>
      </c>
      <c r="B260" s="24" t="str">
        <f>$C$1</f>
        <v>2025-05-20T09:25:57-05:00</v>
      </c>
      <c r="C260" s="27"/>
      <c r="E260" s="26"/>
    </row>
    <row r="261" ht="16.95" spans="1:5">
      <c r="A261" s="23" t="str">
        <f>CONCATENATE("&lt;changefreq&gt;",B261,"&lt;/changefreq&gt;")</f>
        <v>&lt;changefreq&gt;yearly&lt;/changefreq&gt;</v>
      </c>
      <c r="B261" s="24" t="s">
        <v>258</v>
      </c>
      <c r="C261" s="27"/>
      <c r="E261" s="26"/>
    </row>
    <row r="262" ht="16.95" spans="1:3">
      <c r="A262" s="23" t="str">
        <f>CONCATENATE("&lt;priority&gt;",B262,"&lt;/priority&gt;")</f>
        <v>&lt;priority&gt;0.6&lt;/priority&gt;</v>
      </c>
      <c r="B262" s="24" t="str">
        <f>C262</f>
        <v>0.6</v>
      </c>
      <c r="C262" s="28" t="s">
        <v>272</v>
      </c>
    </row>
    <row r="263" ht="16.95" spans="1:3">
      <c r="A263" s="29" t="s">
        <v>259</v>
      </c>
      <c r="B263" s="30"/>
      <c r="C263" s="31"/>
    </row>
    <row r="264" ht="17.7" spans="1:3">
      <c r="A264" s="20" t="s">
        <v>256</v>
      </c>
      <c r="B264" s="21"/>
      <c r="C264" s="22"/>
    </row>
    <row r="265" ht="16.95" spans="1:5">
      <c r="A265" s="23" t="str">
        <f>CONCATENATE("&lt;loc&gt;",B265,"&lt;/loc&gt;")</f>
        <v>&lt;loc&gt;https://eduardoherreraf.github.io/cursoPython3-0205_comentarios.html&lt;/loc&gt;</v>
      </c>
      <c r="B265" s="24" t="str">
        <f>CONCATENATE($C$5,C265)</f>
        <v>https://eduardoherreraf.github.io/cursoPython3-0205_comentarios.html</v>
      </c>
      <c r="C265" s="28" t="s">
        <v>312</v>
      </c>
      <c r="E265" s="26"/>
    </row>
    <row r="266" spans="1:5">
      <c r="A266" s="23" t="str">
        <f>CONCATENATE("&lt;lastmod&gt;",B266,"&lt;/lastmod&gt;")</f>
        <v>&lt;lastmod&gt;2025-05-20T09:25:57-05:00&lt;/lastmod&gt;</v>
      </c>
      <c r="B266" s="24" t="str">
        <f>$C$1</f>
        <v>2025-05-20T09:25:57-05:00</v>
      </c>
      <c r="C266" s="27"/>
      <c r="E266" s="26"/>
    </row>
    <row r="267" ht="16.95" spans="1:5">
      <c r="A267" s="23" t="str">
        <f>CONCATENATE("&lt;changefreq&gt;",B267,"&lt;/changefreq&gt;")</f>
        <v>&lt;changefreq&gt;yearly&lt;/changefreq&gt;</v>
      </c>
      <c r="B267" s="24" t="s">
        <v>258</v>
      </c>
      <c r="C267" s="27"/>
      <c r="E267" s="26"/>
    </row>
    <row r="268" ht="16.95" spans="1:3">
      <c r="A268" s="23" t="str">
        <f>CONCATENATE("&lt;priority&gt;",B268,"&lt;/priority&gt;")</f>
        <v>&lt;priority&gt;0.6&lt;/priority&gt;</v>
      </c>
      <c r="B268" s="24" t="str">
        <f>C268</f>
        <v>0.6</v>
      </c>
      <c r="C268" s="28" t="s">
        <v>272</v>
      </c>
    </row>
    <row r="269" ht="16.95" spans="1:3">
      <c r="A269" s="29" t="s">
        <v>259</v>
      </c>
      <c r="B269" s="30"/>
      <c r="C269" s="31"/>
    </row>
    <row r="270" ht="17.7" spans="1:3">
      <c r="A270" s="20" t="s">
        <v>256</v>
      </c>
      <c r="B270" s="21"/>
      <c r="C270" s="22"/>
    </row>
    <row r="271" ht="16.95" spans="1:5">
      <c r="A271" s="23" t="str">
        <f>CONCATENATE("&lt;loc&gt;",B271,"&lt;/loc&gt;")</f>
        <v>&lt;loc&gt;https://eduardoherreraf.github.io/cursoPython3-0206_interaccion_con_el_usuario.html&lt;/loc&gt;</v>
      </c>
      <c r="B271" s="24" t="str">
        <f>CONCATENATE($C$5,C271)</f>
        <v>https://eduardoherreraf.github.io/cursoPython3-0206_interaccion_con_el_usuario.html</v>
      </c>
      <c r="C271" s="28" t="s">
        <v>313</v>
      </c>
      <c r="E271" s="26"/>
    </row>
    <row r="272" spans="1:5">
      <c r="A272" s="23" t="str">
        <f>CONCATENATE("&lt;lastmod&gt;",B272,"&lt;/lastmod&gt;")</f>
        <v>&lt;lastmod&gt;2025-05-20T09:25:57-05:00&lt;/lastmod&gt;</v>
      </c>
      <c r="B272" s="24" t="str">
        <f>$C$1</f>
        <v>2025-05-20T09:25:57-05:00</v>
      </c>
      <c r="C272" s="27"/>
      <c r="E272" s="26"/>
    </row>
    <row r="273" ht="16.95" spans="1:5">
      <c r="A273" s="23" t="str">
        <f>CONCATENATE("&lt;changefreq&gt;",B273,"&lt;/changefreq&gt;")</f>
        <v>&lt;changefreq&gt;yearly&lt;/changefreq&gt;</v>
      </c>
      <c r="B273" s="24" t="s">
        <v>258</v>
      </c>
      <c r="C273" s="27"/>
      <c r="E273" s="26"/>
    </row>
    <row r="274" ht="16.95" spans="1:3">
      <c r="A274" s="23" t="str">
        <f>CONCATENATE("&lt;priority&gt;",B274,"&lt;/priority&gt;")</f>
        <v>&lt;priority&gt;0.6&lt;/priority&gt;</v>
      </c>
      <c r="B274" s="24" t="str">
        <f>C274</f>
        <v>0.6</v>
      </c>
      <c r="C274" s="28" t="s">
        <v>272</v>
      </c>
    </row>
    <row r="275" ht="16.95" spans="1:3">
      <c r="A275" s="29" t="s">
        <v>259</v>
      </c>
      <c r="B275" s="30"/>
      <c r="C275" s="31"/>
    </row>
    <row r="276" ht="17.7" spans="1:3">
      <c r="A276" s="20" t="s">
        <v>256</v>
      </c>
      <c r="B276" s="21"/>
      <c r="C276" s="22"/>
    </row>
    <row r="277" ht="16.95" spans="1:5">
      <c r="A277" s="23" t="str">
        <f>CONCATENATE("&lt;loc&gt;",B277,"&lt;/loc&gt;")</f>
        <v>&lt;loc&gt;https://eduardoherreraf.github.io/cursoPython3-0301_operadores_de_comparacion_y_logicos_en_python.html&lt;/loc&gt;</v>
      </c>
      <c r="B277" s="24" t="str">
        <f>CONCATENATE($C$5,C277)</f>
        <v>https://eduardoherreraf.github.io/cursoPython3-0301_operadores_de_comparacion_y_logicos_en_python.html</v>
      </c>
      <c r="C277" s="28" t="s">
        <v>314</v>
      </c>
      <c r="E277" s="26"/>
    </row>
    <row r="278" spans="1:5">
      <c r="A278" s="23" t="str">
        <f>CONCATENATE("&lt;lastmod&gt;",B278,"&lt;/lastmod&gt;")</f>
        <v>&lt;lastmod&gt;2025-05-20T09:25:57-05:00&lt;/lastmod&gt;</v>
      </c>
      <c r="B278" s="24" t="str">
        <f>$C$1</f>
        <v>2025-05-20T09:25:57-05:00</v>
      </c>
      <c r="C278" s="27"/>
      <c r="E278" s="26"/>
    </row>
    <row r="279" ht="16.95" spans="1:5">
      <c r="A279" s="23" t="str">
        <f>CONCATENATE("&lt;changefreq&gt;",B279,"&lt;/changefreq&gt;")</f>
        <v>&lt;changefreq&gt;yearly&lt;/changefreq&gt;</v>
      </c>
      <c r="B279" s="24" t="s">
        <v>258</v>
      </c>
      <c r="C279" s="27"/>
      <c r="E279" s="26"/>
    </row>
    <row r="280" ht="16.95" spans="1:3">
      <c r="A280" s="23" t="str">
        <f>CONCATENATE("&lt;priority&gt;",B280,"&lt;/priority&gt;")</f>
        <v>&lt;priority&gt;0.6&lt;/priority&gt;</v>
      </c>
      <c r="B280" s="24" t="str">
        <f>C280</f>
        <v>0.6</v>
      </c>
      <c r="C280" s="28" t="s">
        <v>272</v>
      </c>
    </row>
    <row r="281" ht="16.95" spans="1:3">
      <c r="A281" s="29" t="s">
        <v>259</v>
      </c>
      <c r="B281" s="30"/>
      <c r="C281" s="31"/>
    </row>
    <row r="282" ht="17.7" spans="1:3">
      <c r="A282" s="20" t="s">
        <v>256</v>
      </c>
      <c r="B282" s="21"/>
      <c r="C282" s="22"/>
    </row>
    <row r="283" ht="16.95" spans="1:5">
      <c r="A283" s="23" t="str">
        <f>CONCATENATE("&lt;loc&gt;",B283,"&lt;/loc&gt;")</f>
        <v>&lt;loc&gt;https://eduardoherreraf.github.io/cursoPython3-0302_sentencia_if_de_control_de_flujo.html&lt;/loc&gt;</v>
      </c>
      <c r="B283" s="24" t="str">
        <f>CONCATENATE($C$5,C283)</f>
        <v>https://eduardoherreraf.github.io/cursoPython3-0302_sentencia_if_de_control_de_flujo.html</v>
      </c>
      <c r="C283" s="28" t="s">
        <v>315</v>
      </c>
      <c r="E283" s="26"/>
    </row>
    <row r="284" spans="1:5">
      <c r="A284" s="23" t="str">
        <f>CONCATENATE("&lt;lastmod&gt;",B284,"&lt;/lastmod&gt;")</f>
        <v>&lt;lastmod&gt;2025-05-20T09:25:57-05:00&lt;/lastmod&gt;</v>
      </c>
      <c r="B284" s="24" t="str">
        <f>$C$1</f>
        <v>2025-05-20T09:25:57-05:00</v>
      </c>
      <c r="C284" s="27"/>
      <c r="E284" s="26"/>
    </row>
    <row r="285" ht="16.95" spans="1:5">
      <c r="A285" s="23" t="str">
        <f>CONCATENATE("&lt;changefreq&gt;",B285,"&lt;/changefreq&gt;")</f>
        <v>&lt;changefreq&gt;yearly&lt;/changefreq&gt;</v>
      </c>
      <c r="B285" s="24" t="s">
        <v>258</v>
      </c>
      <c r="C285" s="27"/>
      <c r="E285" s="26"/>
    </row>
    <row r="286" ht="16.95" spans="1:3">
      <c r="A286" s="23" t="str">
        <f>CONCATENATE("&lt;priority&gt;",B286,"&lt;/priority&gt;")</f>
        <v>&lt;priority&gt;0.6&lt;/priority&gt;</v>
      </c>
      <c r="B286" s="24" t="str">
        <f>C286</f>
        <v>0.6</v>
      </c>
      <c r="C286" s="28" t="s">
        <v>272</v>
      </c>
    </row>
    <row r="287" ht="16.95" spans="1:3">
      <c r="A287" s="29" t="s">
        <v>259</v>
      </c>
      <c r="B287" s="30"/>
      <c r="C287" s="31"/>
    </row>
    <row r="288" ht="17.7" spans="1:3">
      <c r="A288" s="20" t="s">
        <v>256</v>
      </c>
      <c r="B288" s="21"/>
      <c r="C288" s="22"/>
    </row>
    <row r="289" ht="16.95" spans="1:5">
      <c r="A289" s="23" t="str">
        <f>CONCATENATE("&lt;loc&gt;",B289,"&lt;/loc&gt;")</f>
        <v>&lt;loc&gt;https://eduardoherreraf.github.io/cursoPython3-0303_bucles_en_python_una_guia_completa.html&lt;/loc&gt;</v>
      </c>
      <c r="B289" s="24" t="str">
        <f>CONCATENATE($C$5,C289)</f>
        <v>https://eduardoherreraf.github.io/cursoPython3-0303_bucles_en_python_una_guia_completa.html</v>
      </c>
      <c r="C289" s="28" t="s">
        <v>316</v>
      </c>
      <c r="E289" s="26"/>
    </row>
    <row r="290" spans="1:5">
      <c r="A290" s="23" t="str">
        <f>CONCATENATE("&lt;lastmod&gt;",B290,"&lt;/lastmod&gt;")</f>
        <v>&lt;lastmod&gt;2025-05-20T09:25:57-05:00&lt;/lastmod&gt;</v>
      </c>
      <c r="B290" s="24" t="str">
        <f>$C$1</f>
        <v>2025-05-20T09:25:57-05:00</v>
      </c>
      <c r="C290" s="27"/>
      <c r="E290" s="26"/>
    </row>
    <row r="291" ht="16.95" spans="1:5">
      <c r="A291" s="23" t="str">
        <f>CONCATENATE("&lt;changefreq&gt;",B291,"&lt;/changefreq&gt;")</f>
        <v>&lt;changefreq&gt;yearly&lt;/changefreq&gt;</v>
      </c>
      <c r="B291" s="24" t="s">
        <v>258</v>
      </c>
      <c r="C291" s="27"/>
      <c r="E291" s="26"/>
    </row>
    <row r="292" ht="16.95" spans="1:3">
      <c r="A292" s="23" t="str">
        <f>CONCATENATE("&lt;priority&gt;",B292,"&lt;/priority&gt;")</f>
        <v>&lt;priority&gt;0.6&lt;/priority&gt;</v>
      </c>
      <c r="B292" s="24" t="str">
        <f>C292</f>
        <v>0.6</v>
      </c>
      <c r="C292" s="28" t="s">
        <v>272</v>
      </c>
    </row>
    <row r="293" ht="16.95" spans="1:3">
      <c r="A293" s="29" t="s">
        <v>259</v>
      </c>
      <c r="B293" s="30"/>
      <c r="C293" s="31"/>
    </row>
    <row r="294" ht="17.7" spans="1:3">
      <c r="A294" s="20" t="s">
        <v>256</v>
      </c>
      <c r="B294" s="21"/>
      <c r="C294" s="22"/>
    </row>
    <row r="295" ht="16.95" spans="1:5">
      <c r="A295" s="23" t="str">
        <f>CONCATENATE("&lt;loc&gt;",B295,"&lt;/loc&gt;")</f>
        <v>&lt;loc&gt;https://eduardoherreraf.github.io/cursoPython3-0304_operadores_logicos_y_operaciones_bit_a_bit_en_python.html&lt;/loc&gt;</v>
      </c>
      <c r="B295" s="24" t="str">
        <f>CONCATENATE($C$5,C295)</f>
        <v>https://eduardoherreraf.github.io/cursoPython3-0304_operadores_logicos_y_operaciones_bit_a_bit_en_python.html</v>
      </c>
      <c r="C295" s="28" t="s">
        <v>317</v>
      </c>
      <c r="E295" s="26"/>
    </row>
    <row r="296" spans="1:5">
      <c r="A296" s="23" t="str">
        <f>CONCATENATE("&lt;lastmod&gt;",B296,"&lt;/lastmod&gt;")</f>
        <v>&lt;lastmod&gt;2025-05-20T09:25:57-05:00&lt;/lastmod&gt;</v>
      </c>
      <c r="B296" s="24" t="str">
        <f>$C$1</f>
        <v>2025-05-20T09:25:57-05:00</v>
      </c>
      <c r="C296" s="27"/>
      <c r="E296" s="26"/>
    </row>
    <row r="297" ht="16.95" spans="1:5">
      <c r="A297" s="23" t="str">
        <f>CONCATENATE("&lt;changefreq&gt;",B297,"&lt;/changefreq&gt;")</f>
        <v>&lt;changefreq&gt;yearly&lt;/changefreq&gt;</v>
      </c>
      <c r="B297" s="24" t="s">
        <v>258</v>
      </c>
      <c r="C297" s="27"/>
      <c r="E297" s="26"/>
    </row>
    <row r="298" ht="16.95" spans="1:3">
      <c r="A298" s="23" t="str">
        <f>CONCATENATE("&lt;priority&gt;",B298,"&lt;/priority&gt;")</f>
        <v>&lt;priority&gt;0.6&lt;/priority&gt;</v>
      </c>
      <c r="B298" s="24" t="str">
        <f>C298</f>
        <v>0.6</v>
      </c>
      <c r="C298" s="28" t="s">
        <v>272</v>
      </c>
    </row>
    <row r="299" ht="16.95" spans="1:3">
      <c r="A299" s="29" t="s">
        <v>259</v>
      </c>
      <c r="B299" s="30"/>
      <c r="C299" s="31"/>
    </row>
    <row r="300" ht="17.7" spans="1:3">
      <c r="A300" s="20" t="s">
        <v>256</v>
      </c>
      <c r="B300" s="21"/>
      <c r="C300" s="22"/>
    </row>
    <row r="301" ht="16.95" spans="1:5">
      <c r="A301" s="23" t="str">
        <f>CONCATENATE("&lt;loc&gt;",B301,"&lt;/loc&gt;")</f>
        <v>&lt;loc&gt;https://eduardoherreraf.github.io/cursoPython3-0305_listas.html&lt;/loc&gt;</v>
      </c>
      <c r="B301" s="24" t="str">
        <f>CONCATENATE($C$5,C301)</f>
        <v>https://eduardoherreraf.github.io/cursoPython3-0305_listas.html</v>
      </c>
      <c r="C301" s="28" t="s">
        <v>318</v>
      </c>
      <c r="E301" s="26"/>
    </row>
    <row r="302" spans="1:5">
      <c r="A302" s="23" t="str">
        <f>CONCATENATE("&lt;lastmod&gt;",B302,"&lt;/lastmod&gt;")</f>
        <v>&lt;lastmod&gt;2025-05-20T09:25:57-05:00&lt;/lastmod&gt;</v>
      </c>
      <c r="B302" s="24" t="str">
        <f>$C$1</f>
        <v>2025-05-20T09:25:57-05:00</v>
      </c>
      <c r="C302" s="27"/>
      <c r="E302" s="26"/>
    </row>
    <row r="303" ht="16.95" spans="1:5">
      <c r="A303" s="23" t="str">
        <f>CONCATENATE("&lt;changefreq&gt;",B303,"&lt;/changefreq&gt;")</f>
        <v>&lt;changefreq&gt;yearly&lt;/changefreq&gt;</v>
      </c>
      <c r="B303" s="24" t="s">
        <v>258</v>
      </c>
      <c r="C303" s="27"/>
      <c r="E303" s="26"/>
    </row>
    <row r="304" ht="16.95" spans="1:3">
      <c r="A304" s="23" t="str">
        <f>CONCATENATE("&lt;priority&gt;",B304,"&lt;/priority&gt;")</f>
        <v>&lt;priority&gt;0.6&lt;/priority&gt;</v>
      </c>
      <c r="B304" s="24" t="str">
        <f>C304</f>
        <v>0.6</v>
      </c>
      <c r="C304" s="28" t="s">
        <v>272</v>
      </c>
    </row>
    <row r="305" ht="16.95" spans="1:3">
      <c r="A305" s="29" t="s">
        <v>259</v>
      </c>
      <c r="B305" s="30"/>
      <c r="C305" s="31"/>
    </row>
    <row r="306" ht="17.7" spans="1:3">
      <c r="A306" s="20" t="s">
        <v>256</v>
      </c>
      <c r="B306" s="21"/>
      <c r="C306" s="22"/>
    </row>
    <row r="307" ht="16.95" spans="1:5">
      <c r="A307" s="23" t="str">
        <f>CONCATENATE("&lt;loc&gt;",B307,"&lt;/loc&gt;")</f>
        <v>&lt;loc&gt;https://eduardoherreraf.github.io/cursoPython3-0306_ordenamiento_de_listas_metodo_burbuja.html&lt;/loc&gt;</v>
      </c>
      <c r="B307" s="24" t="str">
        <f>CONCATENATE($C$5,C307)</f>
        <v>https://eduardoherreraf.github.io/cursoPython3-0306_ordenamiento_de_listas_metodo_burbuja.html</v>
      </c>
      <c r="C307" s="28" t="s">
        <v>319</v>
      </c>
      <c r="E307" s="26"/>
    </row>
    <row r="308" spans="1:5">
      <c r="A308" s="23" t="str">
        <f>CONCATENATE("&lt;lastmod&gt;",B308,"&lt;/lastmod&gt;")</f>
        <v>&lt;lastmod&gt;2025-05-20T09:25:57-05:00&lt;/lastmod&gt;</v>
      </c>
      <c r="B308" s="24" t="str">
        <f>$C$1</f>
        <v>2025-05-20T09:25:57-05:00</v>
      </c>
      <c r="C308" s="27"/>
      <c r="E308" s="26"/>
    </row>
    <row r="309" ht="16.95" spans="1:5">
      <c r="A309" s="23" t="str">
        <f>CONCATENATE("&lt;changefreq&gt;",B309,"&lt;/changefreq&gt;")</f>
        <v>&lt;changefreq&gt;yearly&lt;/changefreq&gt;</v>
      </c>
      <c r="B309" s="24" t="s">
        <v>258</v>
      </c>
      <c r="C309" s="27"/>
      <c r="E309" s="26"/>
    </row>
    <row r="310" ht="16.95" spans="1:3">
      <c r="A310" s="23" t="str">
        <f>CONCATENATE("&lt;priority&gt;",B310,"&lt;/priority&gt;")</f>
        <v>&lt;priority&gt;0.6&lt;/priority&gt;</v>
      </c>
      <c r="B310" s="24" t="str">
        <f>C310</f>
        <v>0.6</v>
      </c>
      <c r="C310" s="28" t="s">
        <v>272</v>
      </c>
    </row>
    <row r="311" ht="16.95" spans="1:3">
      <c r="A311" s="29" t="s">
        <v>259</v>
      </c>
      <c r="B311" s="30"/>
      <c r="C311" s="31"/>
    </row>
    <row r="312" ht="17.7" spans="1:3">
      <c r="A312" s="20" t="s">
        <v>256</v>
      </c>
      <c r="B312" s="21"/>
      <c r="C312" s="22"/>
    </row>
    <row r="313" ht="16.95" spans="1:5">
      <c r="A313" s="23" t="str">
        <f>CONCATENATE("&lt;loc&gt;",B313,"&lt;/loc&gt;")</f>
        <v>&lt;loc&gt;https://eduardoherreraf.github.io/cursoPython3-0307_operaciones_con_listas.html&lt;/loc&gt;</v>
      </c>
      <c r="B313" s="24" t="str">
        <f>CONCATENATE($C$5,C313)</f>
        <v>https://eduardoherreraf.github.io/cursoPython3-0307_operaciones_con_listas.html</v>
      </c>
      <c r="C313" s="28" t="s">
        <v>320</v>
      </c>
      <c r="E313" s="26"/>
    </row>
    <row r="314" spans="1:5">
      <c r="A314" s="23" t="str">
        <f>CONCATENATE("&lt;lastmod&gt;",B314,"&lt;/lastmod&gt;")</f>
        <v>&lt;lastmod&gt;2025-05-20T09:25:57-05:00&lt;/lastmod&gt;</v>
      </c>
      <c r="B314" s="24" t="str">
        <f>$C$1</f>
        <v>2025-05-20T09:25:57-05:00</v>
      </c>
      <c r="C314" s="27"/>
      <c r="E314" s="26"/>
    </row>
    <row r="315" ht="16.95" spans="1:5">
      <c r="A315" s="23" t="str">
        <f>CONCATENATE("&lt;changefreq&gt;",B315,"&lt;/changefreq&gt;")</f>
        <v>&lt;changefreq&gt;yearly&lt;/changefreq&gt;</v>
      </c>
      <c r="B315" s="24" t="s">
        <v>258</v>
      </c>
      <c r="C315" s="27"/>
      <c r="E315" s="26"/>
    </row>
    <row r="316" ht="16.95" spans="1:3">
      <c r="A316" s="23" t="str">
        <f>CONCATENATE("&lt;priority&gt;",B316,"&lt;/priority&gt;")</f>
        <v>&lt;priority&gt;0.6&lt;/priority&gt;</v>
      </c>
      <c r="B316" s="24" t="str">
        <f>C316</f>
        <v>0.6</v>
      </c>
      <c r="C316" s="28" t="s">
        <v>272</v>
      </c>
    </row>
    <row r="317" ht="16.95" spans="1:3">
      <c r="A317" s="29" t="s">
        <v>259</v>
      </c>
      <c r="B317" s="30"/>
      <c r="C317" s="31"/>
    </row>
    <row r="318" ht="17.7" spans="1:3">
      <c r="A318" s="20" t="s">
        <v>256</v>
      </c>
      <c r="B318" s="21"/>
      <c r="C318" s="22"/>
    </row>
    <row r="319" ht="16.95" spans="1:5">
      <c r="A319" s="23" t="str">
        <f>CONCATENATE("&lt;loc&gt;",B319,"&lt;/loc&gt;")</f>
        <v>&lt;loc&gt;https://eduardoherreraf.github.io/cursoPython3-0401_introduccion_funciones.html&lt;/loc&gt;</v>
      </c>
      <c r="B319" s="24" t="str">
        <f>CONCATENATE($C$5,C319)</f>
        <v>https://eduardoherreraf.github.io/cursoPython3-0401_introduccion_funciones.html</v>
      </c>
      <c r="C319" s="28" t="s">
        <v>321</v>
      </c>
      <c r="E319" s="26"/>
    </row>
    <row r="320" spans="1:5">
      <c r="A320" s="23" t="str">
        <f>CONCATENATE("&lt;lastmod&gt;",B320,"&lt;/lastmod&gt;")</f>
        <v>&lt;lastmod&gt;2025-05-20T09:25:57-05:00&lt;/lastmod&gt;</v>
      </c>
      <c r="B320" s="24" t="str">
        <f>$C$1</f>
        <v>2025-05-20T09:25:57-05:00</v>
      </c>
      <c r="C320" s="27"/>
      <c r="E320" s="26"/>
    </row>
    <row r="321" ht="16.95" spans="1:5">
      <c r="A321" s="23" t="str">
        <f>CONCATENATE("&lt;changefreq&gt;",B321,"&lt;/changefreq&gt;")</f>
        <v>&lt;changefreq&gt;yearly&lt;/changefreq&gt;</v>
      </c>
      <c r="B321" s="24" t="s">
        <v>258</v>
      </c>
      <c r="C321" s="27"/>
      <c r="E321" s="26"/>
    </row>
    <row r="322" ht="16.95" spans="1:3">
      <c r="A322" s="23" t="str">
        <f>CONCATENATE("&lt;priority&gt;",B322,"&lt;/priority&gt;")</f>
        <v>&lt;priority&gt;0.6&lt;/priority&gt;</v>
      </c>
      <c r="B322" s="24" t="str">
        <f>C322</f>
        <v>0.6</v>
      </c>
      <c r="C322" s="28" t="s">
        <v>272</v>
      </c>
    </row>
    <row r="323" ht="16.95" spans="1:3">
      <c r="A323" s="29" t="s">
        <v>259</v>
      </c>
      <c r="B323" s="30"/>
      <c r="C323" s="31"/>
    </row>
    <row r="324" ht="17.7" spans="1:3">
      <c r="A324" s="20" t="s">
        <v>256</v>
      </c>
      <c r="B324" s="21"/>
      <c r="C324" s="22"/>
    </row>
    <row r="325" ht="16.95" spans="1:5">
      <c r="A325" s="23" t="str">
        <f>CONCATENATE("&lt;loc&gt;",B325,"&lt;/loc&gt;")</f>
        <v>&lt;loc&gt;https://eduardoherreraf.github.io/cursoPython3-0402_como_las_funciones_se_comunican_con_su_entorno.html&lt;/loc&gt;</v>
      </c>
      <c r="B325" s="24" t="str">
        <f>CONCATENATE($C$5,C325)</f>
        <v>https://eduardoherreraf.github.io/cursoPython3-0402_como_las_funciones_se_comunican_con_su_entorno.html</v>
      </c>
      <c r="C325" s="28" t="s">
        <v>322</v>
      </c>
      <c r="E325" s="26"/>
    </row>
    <row r="326" spans="1:5">
      <c r="A326" s="23" t="str">
        <f>CONCATENATE("&lt;lastmod&gt;",B326,"&lt;/lastmod&gt;")</f>
        <v>&lt;lastmod&gt;2025-05-20T09:25:57-05:00&lt;/lastmod&gt;</v>
      </c>
      <c r="B326" s="24" t="str">
        <f>$C$1</f>
        <v>2025-05-20T09:25:57-05:00</v>
      </c>
      <c r="C326" s="27"/>
      <c r="E326" s="26"/>
    </row>
    <row r="327" ht="16.95" spans="1:5">
      <c r="A327" s="23" t="str">
        <f>CONCATENATE("&lt;changefreq&gt;",B327,"&lt;/changefreq&gt;")</f>
        <v>&lt;changefreq&gt;yearly&lt;/changefreq&gt;</v>
      </c>
      <c r="B327" s="24" t="s">
        <v>258</v>
      </c>
      <c r="C327" s="27"/>
      <c r="E327" s="26"/>
    </row>
    <row r="328" ht="16.95" spans="1:3">
      <c r="A328" s="23" t="str">
        <f>CONCATENATE("&lt;priority&gt;",B328,"&lt;/priority&gt;")</f>
        <v>&lt;priority&gt;0.6&lt;/priority&gt;</v>
      </c>
      <c r="B328" s="24" t="str">
        <f>C328</f>
        <v>0.6</v>
      </c>
      <c r="C328" s="28" t="s">
        <v>272</v>
      </c>
    </row>
    <row r="329" ht="16.95" spans="1:3">
      <c r="A329" s="29" t="s">
        <v>259</v>
      </c>
      <c r="B329" s="30"/>
      <c r="C329" s="31"/>
    </row>
    <row r="330" ht="17.7" spans="1:3">
      <c r="A330" s="20" t="s">
        <v>256</v>
      </c>
      <c r="B330" s="21"/>
      <c r="C330" s="22"/>
    </row>
    <row r="331" ht="16.95" spans="1:5">
      <c r="A331" s="23" t="str">
        <f>CONCATENATE("&lt;loc&gt;",B331,"&lt;/loc&gt;")</f>
        <v>&lt;loc&gt;https://eduardoherreraf.github.io/cursoPython3-0403_retorno_de_valores_en_funciones.html&lt;/loc&gt;</v>
      </c>
      <c r="B331" s="24" t="str">
        <f>CONCATENATE($C$5,C331)</f>
        <v>https://eduardoherreraf.github.io/cursoPython3-0403_retorno_de_valores_en_funciones.html</v>
      </c>
      <c r="C331" s="28" t="s">
        <v>323</v>
      </c>
      <c r="E331" s="26"/>
    </row>
    <row r="332" spans="1:5">
      <c r="A332" s="23" t="str">
        <f>CONCATENATE("&lt;lastmod&gt;",B332,"&lt;/lastmod&gt;")</f>
        <v>&lt;lastmod&gt;2025-05-20T09:25:57-05:00&lt;/lastmod&gt;</v>
      </c>
      <c r="B332" s="24" t="str">
        <f>$C$1</f>
        <v>2025-05-20T09:25:57-05:00</v>
      </c>
      <c r="C332" s="27"/>
      <c r="E332" s="26"/>
    </row>
    <row r="333" ht="16.95" spans="1:5">
      <c r="A333" s="23" t="str">
        <f>CONCATENATE("&lt;changefreq&gt;",B333,"&lt;/changefreq&gt;")</f>
        <v>&lt;changefreq&gt;yearly&lt;/changefreq&gt;</v>
      </c>
      <c r="B333" s="24" t="s">
        <v>258</v>
      </c>
      <c r="C333" s="27"/>
      <c r="E333" s="26"/>
    </row>
    <row r="334" ht="16.95" spans="1:3">
      <c r="A334" s="23" t="str">
        <f>CONCATENATE("&lt;priority&gt;",B334,"&lt;/priority&gt;")</f>
        <v>&lt;priority&gt;0.6&lt;/priority&gt;</v>
      </c>
      <c r="B334" s="24" t="str">
        <f>C334</f>
        <v>0.6</v>
      </c>
      <c r="C334" s="28" t="s">
        <v>272</v>
      </c>
    </row>
    <row r="335" ht="16.95" spans="1:3">
      <c r="A335" s="29" t="s">
        <v>259</v>
      </c>
      <c r="B335" s="30"/>
      <c r="C335" s="31"/>
    </row>
    <row r="336" ht="17.7" spans="1:3">
      <c r="A336" s="20" t="s">
        <v>256</v>
      </c>
      <c r="B336" s="21"/>
      <c r="C336" s="22"/>
    </row>
    <row r="337" ht="16.95" spans="1:5">
      <c r="A337" s="23" t="str">
        <f>CONCATENATE("&lt;loc&gt;",B337,"&lt;/loc&gt;")</f>
        <v>&lt;loc&gt;https://eduardoherreraf.github.io/cursoPython3-0404_el_alcance_de_las_variables.html&lt;/loc&gt;</v>
      </c>
      <c r="B337" s="24" t="str">
        <f>CONCATENATE($C$5,C337)</f>
        <v>https://eduardoherreraf.github.io/cursoPython3-0404_el_alcance_de_las_variables.html</v>
      </c>
      <c r="C337" s="28" t="s">
        <v>324</v>
      </c>
      <c r="E337" s="26"/>
    </row>
    <row r="338" spans="1:5">
      <c r="A338" s="23" t="str">
        <f>CONCATENATE("&lt;lastmod&gt;",B338,"&lt;/lastmod&gt;")</f>
        <v>&lt;lastmod&gt;2025-05-20T09:25:57-05:00&lt;/lastmod&gt;</v>
      </c>
      <c r="B338" s="24" t="str">
        <f>$C$1</f>
        <v>2025-05-20T09:25:57-05:00</v>
      </c>
      <c r="C338" s="27"/>
      <c r="E338" s="26"/>
    </row>
    <row r="339" ht="16.95" spans="1:5">
      <c r="A339" s="23" t="str">
        <f>CONCATENATE("&lt;changefreq&gt;",B339,"&lt;/changefreq&gt;")</f>
        <v>&lt;changefreq&gt;yearly&lt;/changefreq&gt;</v>
      </c>
      <c r="B339" s="24" t="s">
        <v>258</v>
      </c>
      <c r="C339" s="27"/>
      <c r="E339" s="26"/>
    </row>
    <row r="340" ht="16.95" spans="1:3">
      <c r="A340" s="23" t="str">
        <f>CONCATENATE("&lt;priority&gt;",B340,"&lt;/priority&gt;")</f>
        <v>&lt;priority&gt;0.6&lt;/priority&gt;</v>
      </c>
      <c r="B340" s="24" t="str">
        <f>C340</f>
        <v>0.6</v>
      </c>
      <c r="C340" s="28" t="s">
        <v>272</v>
      </c>
    </row>
    <row r="341" ht="16.95" spans="1:3">
      <c r="A341" s="29" t="s">
        <v>259</v>
      </c>
      <c r="B341" s="30"/>
      <c r="C341" s="31"/>
    </row>
    <row r="342" ht="17.7" spans="1:3">
      <c r="A342" s="20" t="s">
        <v>256</v>
      </c>
      <c r="B342" s="21"/>
      <c r="C342" s="22"/>
    </row>
    <row r="343" ht="16.95" spans="1:5">
      <c r="A343" s="23" t="str">
        <f>CONCATENATE("&lt;loc&gt;",B343,"&lt;/loc&gt;")</f>
        <v>&lt;loc&gt;https://eduardoherreraf.github.io/cursoPython3-0405_tuplas_y_diccionarios.html&lt;/loc&gt;</v>
      </c>
      <c r="B343" s="24" t="str">
        <f>CONCATENATE($C$5,C343)</f>
        <v>https://eduardoherreraf.github.io/cursoPython3-0405_tuplas_y_diccionarios.html</v>
      </c>
      <c r="C343" s="28" t="s">
        <v>325</v>
      </c>
      <c r="E343" s="26"/>
    </row>
    <row r="344" spans="1:5">
      <c r="A344" s="23" t="str">
        <f>CONCATENATE("&lt;lastmod&gt;",B344,"&lt;/lastmod&gt;")</f>
        <v>&lt;lastmod&gt;2025-05-20T09:25:57-05:00&lt;/lastmod&gt;</v>
      </c>
      <c r="B344" s="24" t="str">
        <f>$C$1</f>
        <v>2025-05-20T09:25:57-05:00</v>
      </c>
      <c r="C344" s="27"/>
      <c r="E344" s="26"/>
    </row>
    <row r="345" ht="16.95" spans="1:5">
      <c r="A345" s="23" t="str">
        <f>CONCATENATE("&lt;changefreq&gt;",B345,"&lt;/changefreq&gt;")</f>
        <v>&lt;changefreq&gt;yearly&lt;/changefreq&gt;</v>
      </c>
      <c r="B345" s="24" t="s">
        <v>258</v>
      </c>
      <c r="C345" s="27"/>
      <c r="E345" s="26"/>
    </row>
    <row r="346" ht="16.95" spans="1:3">
      <c r="A346" s="23" t="str">
        <f>CONCATENATE("&lt;priority&gt;",B346,"&lt;/priority&gt;")</f>
        <v>&lt;priority&gt;0.6&lt;/priority&gt;</v>
      </c>
      <c r="B346" s="24" t="str">
        <f>C346</f>
        <v>0.6</v>
      </c>
      <c r="C346" s="28" t="s">
        <v>272</v>
      </c>
    </row>
    <row r="347" ht="16.95" spans="1:3">
      <c r="A347" s="29" t="s">
        <v>259</v>
      </c>
      <c r="B347" s="30"/>
      <c r="C347" s="31"/>
    </row>
    <row r="348" ht="17.7" spans="1:3">
      <c r="A348" s="20" t="s">
        <v>256</v>
      </c>
      <c r="B348" s="21"/>
      <c r="C348" s="22"/>
    </row>
    <row r="349" ht="16.95" spans="1:5">
      <c r="A349" s="23" t="str">
        <f>CONCATENATE("&lt;loc&gt;",B349,"&lt;/loc&gt;")</f>
        <v>&lt;loc&gt;https://eduardoherreraf.github.io/cursoPython3-0501_introduccion_a_los_modulos.html&lt;/loc&gt;</v>
      </c>
      <c r="B349" s="24" t="str">
        <f>CONCATENATE($C$5,C349)</f>
        <v>https://eduardoherreraf.github.io/cursoPython3-0501_introduccion_a_los_modulos.html</v>
      </c>
      <c r="C349" s="28" t="s">
        <v>326</v>
      </c>
      <c r="E349" s="26"/>
    </row>
    <row r="350" spans="1:5">
      <c r="A350" s="23" t="str">
        <f>CONCATENATE("&lt;lastmod&gt;",B350,"&lt;/lastmod&gt;")</f>
        <v>&lt;lastmod&gt;2025-05-20T09:25:57-05:00&lt;/lastmod&gt;</v>
      </c>
      <c r="B350" s="24" t="str">
        <f>$C$1</f>
        <v>2025-05-20T09:25:57-05:00</v>
      </c>
      <c r="C350" s="27"/>
      <c r="E350" s="26"/>
    </row>
    <row r="351" ht="16.95" spans="1:5">
      <c r="A351" s="23" t="str">
        <f>CONCATENATE("&lt;changefreq&gt;",B351,"&lt;/changefreq&gt;")</f>
        <v>&lt;changefreq&gt;yearly&lt;/changefreq&gt;</v>
      </c>
      <c r="B351" s="24" t="s">
        <v>258</v>
      </c>
      <c r="C351" s="27"/>
      <c r="E351" s="26"/>
    </row>
    <row r="352" ht="16.95" spans="1:3">
      <c r="A352" s="23" t="str">
        <f>CONCATENATE("&lt;priority&gt;",B352,"&lt;/priority&gt;")</f>
        <v>&lt;priority&gt;0.6&lt;/priority&gt;</v>
      </c>
      <c r="B352" s="24" t="str">
        <f>C352</f>
        <v>0.6</v>
      </c>
      <c r="C352" s="28" t="s">
        <v>272</v>
      </c>
    </row>
    <row r="353" ht="16.95" spans="1:3">
      <c r="A353" s="29" t="s">
        <v>259</v>
      </c>
      <c r="B353" s="30"/>
      <c r="C353" s="31"/>
    </row>
    <row r="354" ht="17.7" spans="1:3">
      <c r="A354" s="20" t="s">
        <v>256</v>
      </c>
      <c r="B354" s="21"/>
      <c r="C354" s="22"/>
    </row>
    <row r="355" ht="16.95" spans="1:5">
      <c r="A355" s="23" t="str">
        <f>CONCATENATE("&lt;loc&gt;",B355,"&lt;/loc&gt;")</f>
        <v>&lt;loc&gt;https://eduardoherreraf.github.io/cursoPython3-0502_importacion_de_modulos.html&lt;/loc&gt;</v>
      </c>
      <c r="B355" s="24" t="str">
        <f>CONCATENATE($C$5,C355)</f>
        <v>https://eduardoherreraf.github.io/cursoPython3-0502_importacion_de_modulos.html</v>
      </c>
      <c r="C355" s="28" t="s">
        <v>327</v>
      </c>
      <c r="E355" s="26"/>
    </row>
    <row r="356" spans="1:5">
      <c r="A356" s="23" t="str">
        <f>CONCATENATE("&lt;lastmod&gt;",B356,"&lt;/lastmod&gt;")</f>
        <v>&lt;lastmod&gt;2025-05-20T09:25:57-05:00&lt;/lastmod&gt;</v>
      </c>
      <c r="B356" s="24" t="str">
        <f>$C$1</f>
        <v>2025-05-20T09:25:57-05:00</v>
      </c>
      <c r="C356" s="27"/>
      <c r="E356" s="26"/>
    </row>
    <row r="357" ht="16.95" spans="1:5">
      <c r="A357" s="23" t="str">
        <f>CONCATENATE("&lt;changefreq&gt;",B357,"&lt;/changefreq&gt;")</f>
        <v>&lt;changefreq&gt;yearly&lt;/changefreq&gt;</v>
      </c>
      <c r="B357" s="24" t="s">
        <v>258</v>
      </c>
      <c r="C357" s="27"/>
      <c r="E357" s="26"/>
    </row>
    <row r="358" ht="16.95" spans="1:3">
      <c r="A358" s="23" t="str">
        <f>CONCATENATE("&lt;priority&gt;",B358,"&lt;/priority&gt;")</f>
        <v>&lt;priority&gt;0.6&lt;/priority&gt;</v>
      </c>
      <c r="B358" s="24" t="str">
        <f>C358</f>
        <v>0.6</v>
      </c>
      <c r="C358" s="28" t="s">
        <v>272</v>
      </c>
    </row>
    <row r="359" ht="16.95" spans="1:3">
      <c r="A359" s="29" t="s">
        <v>259</v>
      </c>
      <c r="B359" s="30"/>
      <c r="C359" s="31"/>
    </row>
    <row r="360" ht="17.7" spans="1:3">
      <c r="A360" s="20" t="s">
        <v>256</v>
      </c>
      <c r="B360" s="21"/>
      <c r="C360" s="22"/>
    </row>
    <row r="361" ht="16.95" spans="1:5">
      <c r="A361" s="23" t="str">
        <f>CONCATENATE("&lt;loc&gt;",B361,"&lt;/loc&gt;")</f>
        <v>&lt;loc&gt;https://eduardoherreraf.github.io/cursoPython3-0503_modulos_especializados_de_python-matematico_aleatorio_y_de_sistema.html&lt;/loc&gt;</v>
      </c>
      <c r="B361" s="24" t="str">
        <f>CONCATENATE($C$5,C361)</f>
        <v>https://eduardoherreraf.github.io/cursoPython3-0503_modulos_especializados_de_python-matematico_aleatorio_y_de_sistema.html</v>
      </c>
      <c r="C361" s="28" t="s">
        <v>328</v>
      </c>
      <c r="E361" s="26"/>
    </row>
    <row r="362" spans="1:5">
      <c r="A362" s="23" t="str">
        <f>CONCATENATE("&lt;lastmod&gt;",B362,"&lt;/lastmod&gt;")</f>
        <v>&lt;lastmod&gt;2025-05-20T09:25:57-05:00&lt;/lastmod&gt;</v>
      </c>
      <c r="B362" s="24" t="str">
        <f>$C$1</f>
        <v>2025-05-20T09:25:57-05:00</v>
      </c>
      <c r="C362" s="27"/>
      <c r="E362" s="26"/>
    </row>
    <row r="363" ht="16.95" spans="1:5">
      <c r="A363" s="23" t="str">
        <f>CONCATENATE("&lt;changefreq&gt;",B363,"&lt;/changefreq&gt;")</f>
        <v>&lt;changefreq&gt;yearly&lt;/changefreq&gt;</v>
      </c>
      <c r="B363" s="24" t="s">
        <v>258</v>
      </c>
      <c r="C363" s="27"/>
      <c r="E363" s="26"/>
    </row>
    <row r="364" ht="16.95" spans="1:3">
      <c r="A364" s="23" t="str">
        <f>CONCATENATE("&lt;priority&gt;",B364,"&lt;/priority&gt;")</f>
        <v>&lt;priority&gt;0.6&lt;/priority&gt;</v>
      </c>
      <c r="B364" s="24" t="str">
        <f>C364</f>
        <v>0.6</v>
      </c>
      <c r="C364" s="28" t="s">
        <v>272</v>
      </c>
    </row>
    <row r="365" ht="16.95" spans="1:3">
      <c r="A365" s="29" t="s">
        <v>259</v>
      </c>
      <c r="B365" s="30"/>
      <c r="C365" s="31"/>
    </row>
    <row r="366" ht="17.7" spans="1:3">
      <c r="A366" s="20" t="s">
        <v>256</v>
      </c>
      <c r="B366" s="21"/>
      <c r="C366" s="22"/>
    </row>
    <row r="367" ht="16.95" spans="1:5">
      <c r="A367" s="23" t="str">
        <f>CONCATENATE("&lt;loc&gt;",B367,"&lt;/loc&gt;")</f>
        <v>&lt;loc&gt;https://eduardoherreraf.github.io/cursoPython3-0504_modulos_y_paquetes.html&lt;/loc&gt;</v>
      </c>
      <c r="B367" s="24" t="str">
        <f>CONCATENATE($C$5,C367)</f>
        <v>https://eduardoherreraf.github.io/cursoPython3-0504_modulos_y_paquetes.html</v>
      </c>
      <c r="C367" s="28" t="s">
        <v>329</v>
      </c>
      <c r="E367" s="26"/>
    </row>
    <row r="368" spans="1:5">
      <c r="A368" s="23" t="str">
        <f>CONCATENATE("&lt;lastmod&gt;",B368,"&lt;/lastmod&gt;")</f>
        <v>&lt;lastmod&gt;2025-05-20T09:25:57-05:00&lt;/lastmod&gt;</v>
      </c>
      <c r="B368" s="24" t="str">
        <f>$C$1</f>
        <v>2025-05-20T09:25:57-05:00</v>
      </c>
      <c r="C368" s="27"/>
      <c r="E368" s="26"/>
    </row>
    <row r="369" ht="16.95" spans="1:5">
      <c r="A369" s="23" t="str">
        <f>CONCATENATE("&lt;changefreq&gt;",B369,"&lt;/changefreq&gt;")</f>
        <v>&lt;changefreq&gt;yearly&lt;/changefreq&gt;</v>
      </c>
      <c r="B369" s="24" t="s">
        <v>258</v>
      </c>
      <c r="C369" s="27"/>
      <c r="E369" s="26"/>
    </row>
    <row r="370" ht="16.95" spans="1:3">
      <c r="A370" s="23" t="str">
        <f>CONCATENATE("&lt;priority&gt;",B370,"&lt;/priority&gt;")</f>
        <v>&lt;priority&gt;0.6&lt;/priority&gt;</v>
      </c>
      <c r="B370" s="24" t="str">
        <f>C370</f>
        <v>0.6</v>
      </c>
      <c r="C370" s="28" t="s">
        <v>272</v>
      </c>
    </row>
    <row r="371" ht="16.95" spans="1:3">
      <c r="A371" s="29" t="s">
        <v>259</v>
      </c>
      <c r="B371" s="30"/>
      <c r="C371" s="31"/>
    </row>
    <row r="372" ht="17.7" spans="1:3">
      <c r="A372" s="20" t="s">
        <v>256</v>
      </c>
      <c r="B372" s="21"/>
      <c r="C372" s="22"/>
    </row>
    <row r="373" ht="16.95" spans="1:5">
      <c r="A373" s="23" t="str">
        <f>CONCATENATE("&lt;loc&gt;",B373,"&lt;/loc&gt;")</f>
        <v>&lt;loc&gt;https://eduardoherreraf.github.io/cursoPython3-0505_instalador_de_paquetes-pip.html&lt;/loc&gt;</v>
      </c>
      <c r="B373" s="24" t="str">
        <f>CONCATENATE($C$5,C373)</f>
        <v>https://eduardoherreraf.github.io/cursoPython3-0505_instalador_de_paquetes-pip.html</v>
      </c>
      <c r="C373" s="28" t="s">
        <v>330</v>
      </c>
      <c r="E373" s="26"/>
    </row>
    <row r="374" spans="1:5">
      <c r="A374" s="23" t="str">
        <f>CONCATENATE("&lt;lastmod&gt;",B374,"&lt;/lastmod&gt;")</f>
        <v>&lt;lastmod&gt;2025-05-20T09:25:57-05:00&lt;/lastmod&gt;</v>
      </c>
      <c r="B374" s="24" t="str">
        <f>$C$1</f>
        <v>2025-05-20T09:25:57-05:00</v>
      </c>
      <c r="C374" s="27"/>
      <c r="E374" s="26"/>
    </row>
    <row r="375" ht="16.95" spans="1:5">
      <c r="A375" s="23" t="str">
        <f>CONCATENATE("&lt;changefreq&gt;",B375,"&lt;/changefreq&gt;")</f>
        <v>&lt;changefreq&gt;yearly&lt;/changefreq&gt;</v>
      </c>
      <c r="B375" s="24" t="s">
        <v>258</v>
      </c>
      <c r="C375" s="27"/>
      <c r="E375" s="26"/>
    </row>
    <row r="376" ht="16.95" spans="1:3">
      <c r="A376" s="23" t="str">
        <f>CONCATENATE("&lt;priority&gt;",B376,"&lt;/priority&gt;")</f>
        <v>&lt;priority&gt;0.6&lt;/priority&gt;</v>
      </c>
      <c r="B376" s="24" t="str">
        <f>C376</f>
        <v>0.6</v>
      </c>
      <c r="C376" s="28" t="s">
        <v>272</v>
      </c>
    </row>
    <row r="377" ht="16.95" spans="1:3">
      <c r="A377" s="29" t="s">
        <v>259</v>
      </c>
      <c r="B377" s="30"/>
      <c r="C377" s="31"/>
    </row>
    <row r="378" ht="17.7" spans="1:3">
      <c r="A378" s="20" t="s">
        <v>256</v>
      </c>
      <c r="B378" s="21"/>
      <c r="C378" s="22"/>
    </row>
    <row r="379" ht="16.95" spans="1:5">
      <c r="A379" s="23" t="str">
        <f>CONCATENATE("&lt;loc&gt;",B379,"&lt;/loc&gt;")</f>
        <v>&lt;loc&gt;https://eduardoherreraf.github.io/cursoPython3-0601_la_naturaleza_de_las_cadenas.html&lt;/loc&gt;</v>
      </c>
      <c r="B379" s="24" t="str">
        <f>CONCATENATE($C$5,C379)</f>
        <v>https://eduardoherreraf.github.io/cursoPython3-0601_la_naturaleza_de_las_cadenas.html</v>
      </c>
      <c r="C379" s="28" t="s">
        <v>331</v>
      </c>
      <c r="E379" s="26"/>
    </row>
    <row r="380" spans="1:5">
      <c r="A380" s="23" t="str">
        <f>CONCATENATE("&lt;lastmod&gt;",B380,"&lt;/lastmod&gt;")</f>
        <v>&lt;lastmod&gt;2025-05-20T09:25:57-05:00&lt;/lastmod&gt;</v>
      </c>
      <c r="B380" s="24" t="str">
        <f>$C$1</f>
        <v>2025-05-20T09:25:57-05:00</v>
      </c>
      <c r="C380" s="27"/>
      <c r="E380" s="26"/>
    </row>
    <row r="381" ht="16.95" spans="1:5">
      <c r="A381" s="23" t="str">
        <f>CONCATENATE("&lt;changefreq&gt;",B381,"&lt;/changefreq&gt;")</f>
        <v>&lt;changefreq&gt;yearly&lt;/changefreq&gt;</v>
      </c>
      <c r="B381" s="24" t="s">
        <v>258</v>
      </c>
      <c r="C381" s="27"/>
      <c r="E381" s="26"/>
    </row>
    <row r="382" ht="16.95" spans="1:3">
      <c r="A382" s="23" t="str">
        <f>CONCATENATE("&lt;priority&gt;",B382,"&lt;/priority&gt;")</f>
        <v>&lt;priority&gt;0.6&lt;/priority&gt;</v>
      </c>
      <c r="B382" s="24" t="str">
        <f>C382</f>
        <v>0.6</v>
      </c>
      <c r="C382" s="28" t="s">
        <v>272</v>
      </c>
    </row>
    <row r="383" ht="16.95" spans="1:3">
      <c r="A383" s="29" t="s">
        <v>259</v>
      </c>
      <c r="B383" s="30"/>
      <c r="C383" s="31"/>
    </row>
    <row r="384" ht="17.7" spans="1:3">
      <c r="A384" s="20" t="s">
        <v>256</v>
      </c>
      <c r="B384" s="21"/>
      <c r="C384" s="22"/>
    </row>
    <row r="385" ht="16.95" spans="1:5">
      <c r="A385" s="23" t="str">
        <f>CONCATENATE("&lt;loc&gt;",B385,"&lt;/loc&gt;")</f>
        <v>&lt;loc&gt;https://eduardoherreraf.github.io/cursoPython3-0602_errores-el_pan_diario_del_programador.html&lt;/loc&gt;</v>
      </c>
      <c r="B385" s="24" t="str">
        <f>CONCATENATE($C$5,C385)</f>
        <v>https://eduardoherreraf.github.io/cursoPython3-0602_errores-el_pan_diario_del_programador.html</v>
      </c>
      <c r="C385" s="28" t="s">
        <v>332</v>
      </c>
      <c r="E385" s="26"/>
    </row>
    <row r="386" spans="1:5">
      <c r="A386" s="23" t="str">
        <f>CONCATENATE("&lt;lastmod&gt;",B386,"&lt;/lastmod&gt;")</f>
        <v>&lt;lastmod&gt;2025-05-20T09:25:57-05:00&lt;/lastmod&gt;</v>
      </c>
      <c r="B386" s="24" t="str">
        <f>$C$1</f>
        <v>2025-05-20T09:25:57-05:00</v>
      </c>
      <c r="C386" s="27"/>
      <c r="E386" s="26"/>
    </row>
    <row r="387" ht="16.95" spans="1:5">
      <c r="A387" s="23" t="str">
        <f>CONCATENATE("&lt;changefreq&gt;",B387,"&lt;/changefreq&gt;")</f>
        <v>&lt;changefreq&gt;yearly&lt;/changefreq&gt;</v>
      </c>
      <c r="B387" s="24" t="s">
        <v>258</v>
      </c>
      <c r="C387" s="27"/>
      <c r="E387" s="26"/>
    </row>
    <row r="388" ht="16.95" spans="1:3">
      <c r="A388" s="23" t="str">
        <f>CONCATENATE("&lt;priority&gt;",B388,"&lt;/priority&gt;")</f>
        <v>&lt;priority&gt;0.6&lt;/priority&gt;</v>
      </c>
      <c r="B388" s="24" t="str">
        <f>C388</f>
        <v>0.6</v>
      </c>
      <c r="C388" s="28" t="s">
        <v>272</v>
      </c>
    </row>
    <row r="389" ht="16.95" spans="1:3">
      <c r="A389" s="29" t="s">
        <v>259</v>
      </c>
      <c r="B389" s="30"/>
      <c r="C389" s="31"/>
    </row>
    <row r="390" ht="17.7" spans="1:3">
      <c r="A390" s="20" t="s">
        <v>256</v>
      </c>
      <c r="B390" s="21"/>
      <c r="C390" s="22"/>
    </row>
    <row r="391" ht="16.95" spans="1:5">
      <c r="A391" s="23" t="str">
        <f>CONCATENATE("&lt;loc&gt;",B391,"&lt;/loc&gt;")</f>
        <v>&lt;loc&gt;https://eduardoherreraf.github.io/cursoPython3-0701_los_fundamentos_de_la_poo.html&lt;/loc&gt;</v>
      </c>
      <c r="B391" s="24" t="str">
        <f>CONCATENATE($C$5,C391)</f>
        <v>https://eduardoherreraf.github.io/cursoPython3-0701_los_fundamentos_de_la_poo.html</v>
      </c>
      <c r="C391" s="28" t="s">
        <v>333</v>
      </c>
      <c r="E391" s="26"/>
    </row>
    <row r="392" spans="1:5">
      <c r="A392" s="23" t="str">
        <f>CONCATENATE("&lt;lastmod&gt;",B392,"&lt;/lastmod&gt;")</f>
        <v>&lt;lastmod&gt;2025-05-20T09:25:57-05:00&lt;/lastmod&gt;</v>
      </c>
      <c r="B392" s="24" t="str">
        <f>$C$1</f>
        <v>2025-05-20T09:25:57-05:00</v>
      </c>
      <c r="C392" s="27"/>
      <c r="E392" s="26"/>
    </row>
    <row r="393" ht="16.95" spans="1:5">
      <c r="A393" s="23" t="str">
        <f>CONCATENATE("&lt;changefreq&gt;",B393,"&lt;/changefreq&gt;")</f>
        <v>&lt;changefreq&gt;yearly&lt;/changefreq&gt;</v>
      </c>
      <c r="B393" s="24" t="s">
        <v>258</v>
      </c>
      <c r="C393" s="27"/>
      <c r="E393" s="26"/>
    </row>
    <row r="394" ht="16.95" spans="1:3">
      <c r="A394" s="23" t="str">
        <f>CONCATENATE("&lt;priority&gt;",B394,"&lt;/priority&gt;")</f>
        <v>&lt;priority&gt;0.6&lt;/priority&gt;</v>
      </c>
      <c r="B394" s="24" t="str">
        <f>C394</f>
        <v>0.6</v>
      </c>
      <c r="C394" s="28" t="s">
        <v>272</v>
      </c>
    </row>
    <row r="395" ht="16.95" spans="1:3">
      <c r="A395" s="29" t="s">
        <v>259</v>
      </c>
      <c r="B395" s="30"/>
      <c r="C395" s="31"/>
    </row>
    <row r="396" ht="17.7" spans="1:3">
      <c r="A396" s="20" t="s">
        <v>256</v>
      </c>
      <c r="B396" s="21"/>
      <c r="C396" s="22"/>
    </row>
    <row r="397" ht="16.95" spans="1:5">
      <c r="A397" s="23" t="str">
        <f>CONCATENATE("&lt;loc&gt;",B397,"&lt;/loc&gt;")</f>
        <v>&lt;loc&gt;https://eduardoherreraf.github.io/cursoPython3-0702_comparando_paradigmas_programacion_procedimental_y_orientada_a_objetos.html&lt;/loc&gt;</v>
      </c>
      <c r="B397" s="24" t="str">
        <f>CONCATENATE($C$5,C397)</f>
        <v>https://eduardoherreraf.github.io/cursoPython3-0702_comparando_paradigmas_programacion_procedimental_y_orientada_a_objetos.html</v>
      </c>
      <c r="C397" s="28" t="s">
        <v>334</v>
      </c>
      <c r="E397" s="26"/>
    </row>
    <row r="398" spans="1:5">
      <c r="A398" s="23" t="str">
        <f>CONCATENATE("&lt;lastmod&gt;",B398,"&lt;/lastmod&gt;")</f>
        <v>&lt;lastmod&gt;2025-05-20T09:25:57-05:00&lt;/lastmod&gt;</v>
      </c>
      <c r="B398" s="24" t="str">
        <f>$C$1</f>
        <v>2025-05-20T09:25:57-05:00</v>
      </c>
      <c r="C398" s="27"/>
      <c r="E398" s="26"/>
    </row>
    <row r="399" ht="16.95" spans="1:5">
      <c r="A399" s="23" t="str">
        <f>CONCATENATE("&lt;changefreq&gt;",B399,"&lt;/changefreq&gt;")</f>
        <v>&lt;changefreq&gt;yearly&lt;/changefreq&gt;</v>
      </c>
      <c r="B399" s="24" t="s">
        <v>258</v>
      </c>
      <c r="C399" s="27"/>
      <c r="E399" s="26"/>
    </row>
    <row r="400" ht="16.95" spans="1:3">
      <c r="A400" s="23" t="str">
        <f>CONCATENATE("&lt;priority&gt;",B400,"&lt;/priority&gt;")</f>
        <v>&lt;priority&gt;0.6&lt;/priority&gt;</v>
      </c>
      <c r="B400" s="24" t="str">
        <f>C400</f>
        <v>0.6</v>
      </c>
      <c r="C400" s="28" t="s">
        <v>272</v>
      </c>
    </row>
    <row r="401" ht="16.95" spans="1:3">
      <c r="A401" s="29" t="s">
        <v>259</v>
      </c>
      <c r="B401" s="30"/>
      <c r="C401" s="31"/>
    </row>
    <row r="402" ht="17.7" spans="1:3">
      <c r="A402" s="20" t="s">
        <v>256</v>
      </c>
      <c r="B402" s="21"/>
      <c r="C402" s="22"/>
    </row>
    <row r="403" ht="16.95" spans="1:5">
      <c r="A403" s="23" t="str">
        <f>CONCATENATE("&lt;loc&gt;",B403,"&lt;/loc&gt;")</f>
        <v>&lt;loc&gt;https://eduardoherreraf.github.io/cursoPython3-0703_poo_propiedades.html&lt;/loc&gt;</v>
      </c>
      <c r="B403" s="24" t="str">
        <f>CONCATENATE($C$5,C403)</f>
        <v>https://eduardoherreraf.github.io/cursoPython3-0703_poo_propiedades.html</v>
      </c>
      <c r="C403" s="28" t="s">
        <v>335</v>
      </c>
      <c r="E403" s="26"/>
    </row>
    <row r="404" spans="1:5">
      <c r="A404" s="23" t="str">
        <f>CONCATENATE("&lt;lastmod&gt;",B404,"&lt;/lastmod&gt;")</f>
        <v>&lt;lastmod&gt;2025-05-20T09:25:57-05:00&lt;/lastmod&gt;</v>
      </c>
      <c r="B404" s="24" t="str">
        <f>$C$1</f>
        <v>2025-05-20T09:25:57-05:00</v>
      </c>
      <c r="C404" s="27"/>
      <c r="E404" s="26"/>
    </row>
    <row r="405" ht="16.95" spans="1:5">
      <c r="A405" s="23" t="str">
        <f>CONCATENATE("&lt;changefreq&gt;",B405,"&lt;/changefreq&gt;")</f>
        <v>&lt;changefreq&gt;yearly&lt;/changefreq&gt;</v>
      </c>
      <c r="B405" s="24" t="s">
        <v>258</v>
      </c>
      <c r="C405" s="27"/>
      <c r="E405" s="26"/>
    </row>
    <row r="406" ht="16.95" spans="1:3">
      <c r="A406" s="23" t="str">
        <f>CONCATENATE("&lt;priority&gt;",B406,"&lt;/priority&gt;")</f>
        <v>&lt;priority&gt;0.6&lt;/priority&gt;</v>
      </c>
      <c r="B406" s="24" t="str">
        <f>C406</f>
        <v>0.6</v>
      </c>
      <c r="C406" s="28" t="s">
        <v>272</v>
      </c>
    </row>
    <row r="407" ht="16.95" spans="1:3">
      <c r="A407" s="29" t="s">
        <v>259</v>
      </c>
      <c r="B407" s="30"/>
      <c r="C407" s="31"/>
    </row>
    <row r="408" ht="17.7" spans="1:3">
      <c r="A408" s="20" t="s">
        <v>256</v>
      </c>
      <c r="B408" s="21"/>
      <c r="C408" s="22"/>
    </row>
    <row r="409" ht="16.95" spans="1:5">
      <c r="A409" s="23" t="str">
        <f>CONCATENATE("&lt;loc&gt;",B409,"&lt;/loc&gt;")</f>
        <v>&lt;loc&gt;https://eduardoherreraf.github.io/cursoPython3-0704_poo_metodos.html&lt;/loc&gt;</v>
      </c>
      <c r="B409" s="24" t="str">
        <f>CONCATENATE($C$5,C409)</f>
        <v>https://eduardoherreraf.github.io/cursoPython3-0704_poo_metodos.html</v>
      </c>
      <c r="C409" s="28" t="s">
        <v>336</v>
      </c>
      <c r="E409" s="26"/>
    </row>
    <row r="410" spans="1:5">
      <c r="A410" s="23" t="str">
        <f>CONCATENATE("&lt;lastmod&gt;",B410,"&lt;/lastmod&gt;")</f>
        <v>&lt;lastmod&gt;2025-05-20T09:25:57-05:00&lt;/lastmod&gt;</v>
      </c>
      <c r="B410" s="24" t="str">
        <f>$C$1</f>
        <v>2025-05-20T09:25:57-05:00</v>
      </c>
      <c r="C410" s="27"/>
      <c r="E410" s="26"/>
    </row>
    <row r="411" ht="16.95" spans="1:5">
      <c r="A411" s="23" t="str">
        <f>CONCATENATE("&lt;changefreq&gt;",B411,"&lt;/changefreq&gt;")</f>
        <v>&lt;changefreq&gt;yearly&lt;/changefreq&gt;</v>
      </c>
      <c r="B411" s="24" t="s">
        <v>258</v>
      </c>
      <c r="C411" s="27"/>
      <c r="E411" s="26"/>
    </row>
    <row r="412" ht="16.95" spans="1:3">
      <c r="A412" s="23" t="str">
        <f>CONCATENATE("&lt;priority&gt;",B412,"&lt;/priority&gt;")</f>
        <v>&lt;priority&gt;0.6&lt;/priority&gt;</v>
      </c>
      <c r="B412" s="24" t="str">
        <f>C412</f>
        <v>0.6</v>
      </c>
      <c r="C412" s="28" t="s">
        <v>272</v>
      </c>
    </row>
    <row r="413" ht="16.95" spans="1:3">
      <c r="A413" s="29" t="s">
        <v>259</v>
      </c>
      <c r="B413" s="30"/>
      <c r="C413" s="31"/>
    </row>
    <row r="414" ht="17.7" spans="1:3">
      <c r="A414" s="20" t="s">
        <v>256</v>
      </c>
      <c r="B414" s="21"/>
      <c r="C414" s="22"/>
    </row>
    <row r="415" ht="16.95" spans="1:5">
      <c r="A415" s="23" t="str">
        <f>CONCATENATE("&lt;loc&gt;",B415,"&lt;/loc&gt;")</f>
        <v>&lt;loc&gt;https://eduardoherreraf.github.io/cursoPython3-0705_poo_herencia.html&lt;/loc&gt;</v>
      </c>
      <c r="B415" s="24" t="str">
        <f>CONCATENATE($C$5,C415)</f>
        <v>https://eduardoherreraf.github.io/cursoPython3-0705_poo_herencia.html</v>
      </c>
      <c r="C415" s="28" t="s">
        <v>337</v>
      </c>
      <c r="E415" s="26"/>
    </row>
    <row r="416" spans="1:5">
      <c r="A416" s="23" t="str">
        <f>CONCATENATE("&lt;lastmod&gt;",B416,"&lt;/lastmod&gt;")</f>
        <v>&lt;lastmod&gt;2025-05-20T09:25:57-05:00&lt;/lastmod&gt;</v>
      </c>
      <c r="B416" s="24" t="str">
        <f>$C$1</f>
        <v>2025-05-20T09:25:57-05:00</v>
      </c>
      <c r="C416" s="27"/>
      <c r="E416" s="26"/>
    </row>
    <row r="417" ht="16.95" spans="1:5">
      <c r="A417" s="23" t="str">
        <f>CONCATENATE("&lt;changefreq&gt;",B417,"&lt;/changefreq&gt;")</f>
        <v>&lt;changefreq&gt;yearly&lt;/changefreq&gt;</v>
      </c>
      <c r="B417" s="24" t="s">
        <v>258</v>
      </c>
      <c r="C417" s="27"/>
      <c r="E417" s="26"/>
    </row>
    <row r="418" ht="16.95" spans="1:3">
      <c r="A418" s="23" t="str">
        <f>CONCATENATE("&lt;priority&gt;",B418,"&lt;/priority&gt;")</f>
        <v>&lt;priority&gt;0.6&lt;/priority&gt;</v>
      </c>
      <c r="B418" s="24" t="str">
        <f>C418</f>
        <v>0.6</v>
      </c>
      <c r="C418" s="28" t="s">
        <v>272</v>
      </c>
    </row>
    <row r="419" ht="16.95" spans="1:3">
      <c r="A419" s="29" t="s">
        <v>259</v>
      </c>
      <c r="B419" s="30"/>
      <c r="C419" s="31"/>
    </row>
    <row r="420" ht="17.7" spans="1:3">
      <c r="A420" s="20" t="s">
        <v>256</v>
      </c>
      <c r="B420" s="21"/>
      <c r="C420" s="22"/>
    </row>
    <row r="421" ht="16.95" spans="1:5">
      <c r="A421" s="23" t="str">
        <f>CONCATENATE("&lt;loc&gt;",B421,"&lt;/loc&gt;")</f>
        <v>&lt;loc&gt;https://eduardoherreraf.github.io/cursoPython3-0706_poo_excepciones.html&lt;/loc&gt;</v>
      </c>
      <c r="B421" s="24" t="str">
        <f>CONCATENATE($C$5,C421)</f>
        <v>https://eduardoherreraf.github.io/cursoPython3-0706_poo_excepciones.html</v>
      </c>
      <c r="C421" s="28" t="s">
        <v>338</v>
      </c>
      <c r="E421" s="26"/>
    </row>
    <row r="422" spans="1:5">
      <c r="A422" s="23" t="str">
        <f>CONCATENATE("&lt;lastmod&gt;",B422,"&lt;/lastmod&gt;")</f>
        <v>&lt;lastmod&gt;2025-05-20T09:25:57-05:00&lt;/lastmod&gt;</v>
      </c>
      <c r="B422" s="24" t="str">
        <f>$C$1</f>
        <v>2025-05-20T09:25:57-05:00</v>
      </c>
      <c r="C422" s="27"/>
      <c r="E422" s="26"/>
    </row>
    <row r="423" ht="16.95" spans="1:5">
      <c r="A423" s="23" t="str">
        <f>CONCATENATE("&lt;changefreq&gt;",B423,"&lt;/changefreq&gt;")</f>
        <v>&lt;changefreq&gt;yearly&lt;/changefreq&gt;</v>
      </c>
      <c r="B423" s="24" t="s">
        <v>258</v>
      </c>
      <c r="C423" s="27"/>
      <c r="E423" s="26"/>
    </row>
    <row r="424" ht="16.95" spans="1:3">
      <c r="A424" s="23" t="str">
        <f>CONCATENATE("&lt;priority&gt;",B424,"&lt;/priority&gt;")</f>
        <v>&lt;priority&gt;0.6&lt;/priority&gt;</v>
      </c>
      <c r="B424" s="24" t="str">
        <f>C424</f>
        <v>0.6</v>
      </c>
      <c r="C424" s="28" t="s">
        <v>272</v>
      </c>
    </row>
    <row r="425" ht="16.95" spans="1:3">
      <c r="A425" s="29" t="s">
        <v>259</v>
      </c>
      <c r="B425" s="30"/>
      <c r="C425" s="31"/>
    </row>
    <row r="426" ht="17.7" spans="1:3">
      <c r="A426" s="20" t="s">
        <v>256</v>
      </c>
      <c r="B426" s="21"/>
      <c r="C426" s="22"/>
    </row>
    <row r="427" ht="16.95" spans="1:5">
      <c r="A427" s="23" t="str">
        <f>CONCATENATE("&lt;loc&gt;",B427,"&lt;/loc&gt;")</f>
        <v>&lt;loc&gt;https://eduardoherreraf.github.io/cursoPython3-0801_iteradores,_generadores_y_cierres.html&lt;/loc&gt;</v>
      </c>
      <c r="B427" s="24" t="str">
        <f>CONCATENATE($C$5,C427)</f>
        <v>https://eduardoherreraf.github.io/cursoPython3-0801_iteradores,_generadores_y_cierres.html</v>
      </c>
      <c r="C427" s="28" t="s">
        <v>339</v>
      </c>
      <c r="E427" s="26"/>
    </row>
    <row r="428" spans="1:5">
      <c r="A428" s="23" t="str">
        <f>CONCATENATE("&lt;lastmod&gt;",B428,"&lt;/lastmod&gt;")</f>
        <v>&lt;lastmod&gt;2025-05-20T09:25:57-05:00&lt;/lastmod&gt;</v>
      </c>
      <c r="B428" s="24" t="str">
        <f>$C$1</f>
        <v>2025-05-20T09:25:57-05:00</v>
      </c>
      <c r="C428" s="27"/>
      <c r="E428" s="26"/>
    </row>
    <row r="429" ht="16.95" spans="1:5">
      <c r="A429" s="23" t="str">
        <f>CONCATENATE("&lt;changefreq&gt;",B429,"&lt;/changefreq&gt;")</f>
        <v>&lt;changefreq&gt;yearly&lt;/changefreq&gt;</v>
      </c>
      <c r="B429" s="24" t="s">
        <v>258</v>
      </c>
      <c r="C429" s="27"/>
      <c r="E429" s="26"/>
    </row>
    <row r="430" ht="16.95" spans="1:3">
      <c r="A430" s="23" t="str">
        <f>CONCATENATE("&lt;priority&gt;",B430,"&lt;/priority&gt;")</f>
        <v>&lt;priority&gt;0.6&lt;/priority&gt;</v>
      </c>
      <c r="B430" s="24" t="str">
        <f>C430</f>
        <v>0.6</v>
      </c>
      <c r="C430" s="28" t="s">
        <v>272</v>
      </c>
    </row>
    <row r="431" ht="16.95" spans="1:3">
      <c r="A431" s="29" t="s">
        <v>259</v>
      </c>
      <c r="B431" s="30"/>
      <c r="C431" s="31"/>
    </row>
    <row r="432" ht="17.7" spans="1:3">
      <c r="A432" s="20" t="s">
        <v>256</v>
      </c>
      <c r="B432" s="21"/>
      <c r="C432" s="22"/>
    </row>
    <row r="433" ht="16.95" spans="1:5">
      <c r="A433" s="23" t="str">
        <f>CONCATENATE("&lt;loc&gt;",B433,"&lt;/loc&gt;")</f>
        <v>&lt;loc&gt;https://eduardoherreraf.github.io/cursoPython3-0802_manejo_de_archivos.html&lt;/loc&gt;</v>
      </c>
      <c r="B433" s="24" t="str">
        <f>CONCATENATE($C$5,C433)</f>
        <v>https://eduardoherreraf.github.io/cursoPython3-0802_manejo_de_archivos.html</v>
      </c>
      <c r="C433" s="28" t="s">
        <v>340</v>
      </c>
      <c r="E433" s="26"/>
    </row>
    <row r="434" spans="1:5">
      <c r="A434" s="23" t="str">
        <f>CONCATENATE("&lt;lastmod&gt;",B434,"&lt;/lastmod&gt;")</f>
        <v>&lt;lastmod&gt;2025-05-20T09:25:57-05:00&lt;/lastmod&gt;</v>
      </c>
      <c r="B434" s="24" t="str">
        <f>$C$1</f>
        <v>2025-05-20T09:25:57-05:00</v>
      </c>
      <c r="C434" s="27"/>
      <c r="E434" s="26"/>
    </row>
    <row r="435" ht="16.95" spans="1:5">
      <c r="A435" s="23" t="str">
        <f>CONCATENATE("&lt;changefreq&gt;",B435,"&lt;/changefreq&gt;")</f>
        <v>&lt;changefreq&gt;yearly&lt;/changefreq&gt;</v>
      </c>
      <c r="B435" s="24" t="s">
        <v>258</v>
      </c>
      <c r="C435" s="27"/>
      <c r="E435" s="26"/>
    </row>
    <row r="436" ht="16.95" spans="1:3">
      <c r="A436" s="23" t="str">
        <f>CONCATENATE("&lt;priority&gt;",B436,"&lt;/priority&gt;")</f>
        <v>&lt;priority&gt;0.6&lt;/priority&gt;</v>
      </c>
      <c r="B436" s="24" t="str">
        <f>C436</f>
        <v>0.6</v>
      </c>
      <c r="C436" s="28" t="s">
        <v>272</v>
      </c>
    </row>
    <row r="437" ht="16.95" spans="1:3">
      <c r="A437" s="29" t="s">
        <v>259</v>
      </c>
      <c r="B437" s="30"/>
      <c r="C437" s="31"/>
    </row>
    <row r="438" ht="17.7" spans="1:3">
      <c r="A438" s="20" t="s">
        <v>256</v>
      </c>
      <c r="B438" s="21"/>
      <c r="C438" s="22"/>
    </row>
    <row r="439" ht="16.95" spans="1:5">
      <c r="A439" s="23" t="str">
        <f>CONCATENATE("&lt;loc&gt;",B439,"&lt;/loc&gt;")</f>
        <v>&lt;loc&gt;https://eduardoherreraf.github.io/cursoPython3-0803_el_modulo_os_interactuando_con_el_sistema_operativo.html&lt;/loc&gt;</v>
      </c>
      <c r="B439" s="24" t="str">
        <f>CONCATENATE($C$5,C439)</f>
        <v>https://eduardoherreraf.github.io/cursoPython3-0803_el_modulo_os_interactuando_con_el_sistema_operativo.html</v>
      </c>
      <c r="C439" s="28" t="s">
        <v>341</v>
      </c>
      <c r="E439" s="26"/>
    </row>
    <row r="440" spans="1:5">
      <c r="A440" s="23" t="str">
        <f>CONCATENATE("&lt;lastmod&gt;",B440,"&lt;/lastmod&gt;")</f>
        <v>&lt;lastmod&gt;2025-05-20T09:25:57-05:00&lt;/lastmod&gt;</v>
      </c>
      <c r="B440" s="24" t="str">
        <f>$C$1</f>
        <v>2025-05-20T09:25:57-05:00</v>
      </c>
      <c r="C440" s="27"/>
      <c r="E440" s="26"/>
    </row>
    <row r="441" ht="16.95" spans="1:5">
      <c r="A441" s="23" t="str">
        <f>CONCATENATE("&lt;changefreq&gt;",B441,"&lt;/changefreq&gt;")</f>
        <v>&lt;changefreq&gt;yearly&lt;/changefreq&gt;</v>
      </c>
      <c r="B441" s="24" t="s">
        <v>258</v>
      </c>
      <c r="C441" s="27"/>
      <c r="E441" s="26"/>
    </row>
    <row r="442" ht="16.95" spans="1:3">
      <c r="A442" s="23" t="str">
        <f>CONCATENATE("&lt;priority&gt;",B442,"&lt;/priority&gt;")</f>
        <v>&lt;priority&gt;0.6&lt;/priority&gt;</v>
      </c>
      <c r="B442" s="24" t="str">
        <f>C442</f>
        <v>0.6</v>
      </c>
      <c r="C442" s="28" t="s">
        <v>272</v>
      </c>
    </row>
    <row r="443" ht="16.95" spans="1:3">
      <c r="A443" s="29" t="s">
        <v>259</v>
      </c>
      <c r="B443" s="30"/>
      <c r="C443" s="31"/>
    </row>
    <row r="444" ht="17.7" spans="1:3">
      <c r="A444" s="20" t="s">
        <v>256</v>
      </c>
      <c r="B444" s="21"/>
      <c r="C444" s="22"/>
    </row>
    <row r="445" ht="16.95" spans="1:5">
      <c r="A445" s="23" t="str">
        <f>CONCATENATE("&lt;loc&gt;",B445,"&lt;/loc&gt;")</f>
        <v>&lt;loc&gt;https://eduardoherreraf.github.io/cursoPython3-0804_modulo_datetime_funciones_para_manejo_de_la_hora_y_la_fecha.html&lt;/loc&gt;</v>
      </c>
      <c r="B445" s="24" t="str">
        <f>CONCATENATE($C$5,C445)</f>
        <v>https://eduardoherreraf.github.io/cursoPython3-0804_modulo_datetime_funciones_para_manejo_de_la_hora_y_la_fecha.html</v>
      </c>
      <c r="C445" s="28" t="s">
        <v>342</v>
      </c>
      <c r="E445" s="26"/>
    </row>
    <row r="446" spans="1:5">
      <c r="A446" s="23" t="str">
        <f>CONCATENATE("&lt;lastmod&gt;",B446,"&lt;/lastmod&gt;")</f>
        <v>&lt;lastmod&gt;2025-05-20T09:25:57-05:00&lt;/lastmod&gt;</v>
      </c>
      <c r="B446" s="24" t="str">
        <f>$C$1</f>
        <v>2025-05-20T09:25:57-05:00</v>
      </c>
      <c r="C446" s="27"/>
      <c r="E446" s="26"/>
    </row>
    <row r="447" ht="16.95" spans="1:5">
      <c r="A447" s="23" t="str">
        <f>CONCATENATE("&lt;changefreq&gt;",B447,"&lt;/changefreq&gt;")</f>
        <v>&lt;changefreq&gt;yearly&lt;/changefreq&gt;</v>
      </c>
      <c r="B447" s="24" t="s">
        <v>258</v>
      </c>
      <c r="C447" s="27"/>
      <c r="E447" s="26"/>
    </row>
    <row r="448" ht="16.95" spans="1:3">
      <c r="A448" s="23" t="str">
        <f>CONCATENATE("&lt;priority&gt;",B448,"&lt;/priority&gt;")</f>
        <v>&lt;priority&gt;0.6&lt;/priority&gt;</v>
      </c>
      <c r="B448" s="24" t="str">
        <f>C448</f>
        <v>0.6</v>
      </c>
      <c r="C448" s="28" t="s">
        <v>272</v>
      </c>
    </row>
    <row r="449" ht="16.95" spans="1:3">
      <c r="A449" s="29" t="s">
        <v>259</v>
      </c>
      <c r="B449" s="30"/>
      <c r="C449" s="31"/>
    </row>
    <row r="450" ht="17.7" spans="1:3">
      <c r="A450" s="20" t="s">
        <v>256</v>
      </c>
      <c r="B450" s="21"/>
      <c r="C450" s="22"/>
    </row>
    <row r="451" ht="16.95" spans="1:3">
      <c r="A451" s="23" t="str">
        <f>CONCATENATE("&lt;loc&gt;",B451,"&lt;/loc&gt;")</f>
        <v>&lt;loc&gt;https://eduardoherreraf.github.io/cursoPython3-0805_modulo_calendar_trabajando_con_funciones_relacionadas_con_el_calendario.html&lt;/loc&gt;</v>
      </c>
      <c r="B451" s="24" t="str">
        <f>CONCATENATE($C$5,C451)</f>
        <v>https://eduardoherreraf.github.io/cursoPython3-0805_modulo_calendar_trabajando_con_funciones_relacionadas_con_el_calendario.html</v>
      </c>
      <c r="C451" s="28" t="s">
        <v>343</v>
      </c>
    </row>
    <row r="452" spans="1:3">
      <c r="A452" s="23" t="str">
        <f>CONCATENATE("&lt;lastmod&gt;",B452,"&lt;/lastmod&gt;")</f>
        <v>&lt;lastmod&gt;2025-05-20T09:25:57-05:00&lt;/lastmod&gt;</v>
      </c>
      <c r="B452" s="24" t="str">
        <f>$C$1</f>
        <v>2025-05-20T09:25:57-05:00</v>
      </c>
      <c r="C452" s="27"/>
    </row>
    <row r="453" ht="16.95" spans="1:3">
      <c r="A453" s="23" t="str">
        <f>CONCATENATE("&lt;changefreq&gt;",B453,"&lt;/changefreq&gt;")</f>
        <v>&lt;changefreq&gt;yearly&lt;/changefreq&gt;</v>
      </c>
      <c r="B453" s="24" t="s">
        <v>258</v>
      </c>
      <c r="C453" s="27"/>
    </row>
    <row r="454" ht="16.95" spans="1:3">
      <c r="A454" s="23" t="str">
        <f>CONCATENATE("&lt;priority&gt;",B454,"&lt;/priority&gt;")</f>
        <v>&lt;priority&gt;0.6&lt;/priority&gt;</v>
      </c>
      <c r="B454" s="24" t="str">
        <f>C454</f>
        <v>0.6</v>
      </c>
      <c r="C454" s="28" t="s">
        <v>272</v>
      </c>
    </row>
    <row r="455" ht="16.95" spans="1:3">
      <c r="A455" s="29" t="s">
        <v>259</v>
      </c>
      <c r="B455" s="30"/>
      <c r="C455" s="31"/>
    </row>
    <row r="456" ht="17.7" spans="1:3">
      <c r="A456" s="32" t="s">
        <v>344</v>
      </c>
      <c r="B456" s="32"/>
      <c r="C456" s="32"/>
    </row>
    <row r="457" ht="17.7" spans="1:3">
      <c r="A457" s="20" t="s">
        <v>256</v>
      </c>
      <c r="B457" s="21"/>
      <c r="C457" s="22"/>
    </row>
    <row r="458" ht="16.95" spans="1:5">
      <c r="A458" s="23" t="str">
        <f>CONCATENATE("&lt;loc&gt;",B458,"&lt;/loc&gt;")</f>
        <v>&lt;loc&gt;https://eduardoherreraf.github.io/html-01_introduccion_html.html&lt;/loc&gt;</v>
      </c>
      <c r="B458" s="24" t="str">
        <f>CONCATENATE($C$5,C458)</f>
        <v>https://eduardoherreraf.github.io/html-01_introduccion_html.html</v>
      </c>
      <c r="C458" s="25" t="s">
        <v>345</v>
      </c>
      <c r="E458" s="26"/>
    </row>
    <row r="459" spans="1:5">
      <c r="A459" s="23" t="str">
        <f>CONCATENATE("&lt;lastmod&gt;",B459,"&lt;/lastmod&gt;")</f>
        <v>&lt;lastmod&gt;2025-05-20T09:25:57-05:00&lt;/lastmod&gt;</v>
      </c>
      <c r="B459" s="24" t="str">
        <f>$C$1</f>
        <v>2025-05-20T09:25:57-05:00</v>
      </c>
      <c r="C459" s="27"/>
      <c r="E459" s="26"/>
    </row>
    <row r="460" ht="16.95" spans="1:5">
      <c r="A460" s="23" t="str">
        <f>CONCATENATE("&lt;changefreq&gt;",B460,"&lt;/changefreq&gt;")</f>
        <v>&lt;changefreq&gt;yearly&lt;/changefreq&gt;</v>
      </c>
      <c r="B460" s="24" t="s">
        <v>258</v>
      </c>
      <c r="C460" s="27"/>
      <c r="E460" s="26"/>
    </row>
    <row r="461" ht="16.95" spans="1:3">
      <c r="A461" s="23" t="str">
        <f>CONCATENATE("&lt;priority&gt;",B461,"&lt;/priority&gt;")</f>
        <v>&lt;priority&gt;0.6&lt;/priority&gt;</v>
      </c>
      <c r="B461" s="24" t="str">
        <f>C461</f>
        <v>0.6</v>
      </c>
      <c r="C461" s="28" t="s">
        <v>272</v>
      </c>
    </row>
    <row r="462" ht="16.95" spans="1:3">
      <c r="A462" s="29" t="s">
        <v>259</v>
      </c>
      <c r="B462" s="30"/>
      <c r="C462" s="31"/>
    </row>
    <row r="463" ht="17.7" spans="1:3">
      <c r="A463" s="20" t="s">
        <v>256</v>
      </c>
      <c r="B463" s="21"/>
      <c r="C463" s="22"/>
    </row>
    <row r="464" ht="16.95" spans="1:5">
      <c r="A464" s="23" t="str">
        <f>CONCATENATE("&lt;loc&gt;",B464,"&lt;/loc&gt;")</f>
        <v>&lt;loc&gt;https://eduardoherreraf.github.io/html-02_estructura_del_documento_html.html&lt;/loc&gt;</v>
      </c>
      <c r="B464" s="24" t="str">
        <f>CONCATENATE($C$5,C464)</f>
        <v>https://eduardoherreraf.github.io/html-02_estructura_del_documento_html.html</v>
      </c>
      <c r="C464" s="25" t="s">
        <v>346</v>
      </c>
      <c r="E464" s="26"/>
    </row>
    <row r="465" spans="1:5">
      <c r="A465" s="23" t="str">
        <f>CONCATENATE("&lt;lastmod&gt;",B465,"&lt;/lastmod&gt;")</f>
        <v>&lt;lastmod&gt;2025-05-20T09:25:57-05:00&lt;/lastmod&gt;</v>
      </c>
      <c r="B465" s="24" t="str">
        <f>$C$1</f>
        <v>2025-05-20T09:25:57-05:00</v>
      </c>
      <c r="C465" s="27"/>
      <c r="E465" s="26"/>
    </row>
    <row r="466" ht="16.95" spans="1:5">
      <c r="A466" s="23" t="str">
        <f>CONCATENATE("&lt;changefreq&gt;",B466,"&lt;/changefreq&gt;")</f>
        <v>&lt;changefreq&gt;yearly&lt;/changefreq&gt;</v>
      </c>
      <c r="B466" s="24" t="s">
        <v>258</v>
      </c>
      <c r="C466" s="27"/>
      <c r="E466" s="26"/>
    </row>
    <row r="467" ht="16.95" spans="1:3">
      <c r="A467" s="23" t="str">
        <f>CONCATENATE("&lt;priority&gt;",B467,"&lt;/priority&gt;")</f>
        <v>&lt;priority&gt;0.6&lt;/priority&gt;</v>
      </c>
      <c r="B467" s="24" t="str">
        <f>C467</f>
        <v>0.6</v>
      </c>
      <c r="C467" s="28" t="s">
        <v>272</v>
      </c>
    </row>
    <row r="468" ht="16.95" spans="1:3">
      <c r="A468" s="29" t="s">
        <v>259</v>
      </c>
      <c r="B468" s="30"/>
      <c r="C468" s="31"/>
    </row>
    <row r="469" ht="17.7" spans="1:3">
      <c r="A469" s="20" t="s">
        <v>256</v>
      </c>
      <c r="B469" s="21"/>
      <c r="C469" s="22"/>
    </row>
    <row r="470" ht="16.95" spans="1:5">
      <c r="A470" s="23" t="str">
        <f>CONCATENATE("&lt;loc&gt;",B470,"&lt;/loc&gt;")</f>
        <v>&lt;loc&gt;https://eduardoherreraf.github.io/html-03_encabezado_html.html&lt;/loc&gt;</v>
      </c>
      <c r="B470" s="24" t="str">
        <f>CONCATENATE($C$5,C470)</f>
        <v>https://eduardoherreraf.github.io/html-03_encabezado_html.html</v>
      </c>
      <c r="C470" s="25" t="s">
        <v>347</v>
      </c>
      <c r="E470" s="26"/>
    </row>
    <row r="471" spans="1:5">
      <c r="A471" s="23" t="str">
        <f>CONCATENATE("&lt;lastmod&gt;",B471,"&lt;/lastmod&gt;")</f>
        <v>&lt;lastmod&gt;2025-05-20T09:25:57-05:00&lt;/lastmod&gt;</v>
      </c>
      <c r="B471" s="24" t="str">
        <f>$C$1</f>
        <v>2025-05-20T09:25:57-05:00</v>
      </c>
      <c r="C471" s="27"/>
      <c r="E471" s="26"/>
    </row>
    <row r="472" ht="16.95" spans="1:5">
      <c r="A472" s="23" t="str">
        <f>CONCATENATE("&lt;changefreq&gt;",B472,"&lt;/changefreq&gt;")</f>
        <v>&lt;changefreq&gt;yearly&lt;/changefreq&gt;</v>
      </c>
      <c r="B472" s="24" t="s">
        <v>258</v>
      </c>
      <c r="C472" s="27"/>
      <c r="E472" s="26"/>
    </row>
    <row r="473" ht="16.95" spans="1:3">
      <c r="A473" s="23" t="str">
        <f>CONCATENATE("&lt;priority&gt;",B473,"&lt;/priority&gt;")</f>
        <v>&lt;priority&gt;0.6&lt;/priority&gt;</v>
      </c>
      <c r="B473" s="24" t="str">
        <f>C473</f>
        <v>0.6</v>
      </c>
      <c r="C473" s="28" t="s">
        <v>272</v>
      </c>
    </row>
    <row r="474" ht="16.95" spans="1:3">
      <c r="A474" s="29" t="s">
        <v>259</v>
      </c>
      <c r="B474" s="30"/>
      <c r="C474" s="31"/>
    </row>
    <row r="475" ht="17.7" spans="1:3">
      <c r="A475" s="20" t="s">
        <v>256</v>
      </c>
      <c r="B475" s="21"/>
      <c r="C475" s="22"/>
    </row>
    <row r="476" ht="16.95" spans="1:5">
      <c r="A476" s="23" t="str">
        <f>CONCATENATE("&lt;loc&gt;",B476,"&lt;/loc&gt;")</f>
        <v>&lt;loc&gt;https://eduardoherreraf.github.io/html-04_cuerpo_html.html&lt;/loc&gt;</v>
      </c>
      <c r="B476" s="24" t="str">
        <f>CONCATENATE($C$5,C476)</f>
        <v>https://eduardoherreraf.github.io/html-04_cuerpo_html.html</v>
      </c>
      <c r="C476" s="25" t="s">
        <v>348</v>
      </c>
      <c r="E476" s="26"/>
    </row>
    <row r="477" spans="1:5">
      <c r="A477" s="23" t="str">
        <f>CONCATENATE("&lt;lastmod&gt;",B477,"&lt;/lastmod&gt;")</f>
        <v>&lt;lastmod&gt;2025-05-20T09:25:57-05:00&lt;/lastmod&gt;</v>
      </c>
      <c r="B477" s="24" t="str">
        <f>$C$1</f>
        <v>2025-05-20T09:25:57-05:00</v>
      </c>
      <c r="C477" s="27"/>
      <c r="E477" s="26"/>
    </row>
    <row r="478" ht="16.95" spans="1:5">
      <c r="A478" s="23" t="str">
        <f>CONCATENATE("&lt;changefreq&gt;",B478,"&lt;/changefreq&gt;")</f>
        <v>&lt;changefreq&gt;yearly&lt;/changefreq&gt;</v>
      </c>
      <c r="B478" s="24" t="s">
        <v>258</v>
      </c>
      <c r="C478" s="27"/>
      <c r="E478" s="26"/>
    </row>
    <row r="479" ht="16.95" spans="1:3">
      <c r="A479" s="23" t="str">
        <f>CONCATENATE("&lt;priority&gt;",B479,"&lt;/priority&gt;")</f>
        <v>&lt;priority&gt;0.6&lt;/priority&gt;</v>
      </c>
      <c r="B479" s="24" t="str">
        <f>C479</f>
        <v>0.6</v>
      </c>
      <c r="C479" s="28" t="s">
        <v>272</v>
      </c>
    </row>
    <row r="480" ht="16.95" spans="1:3">
      <c r="A480" s="29" t="s">
        <v>259</v>
      </c>
      <c r="B480" s="30"/>
      <c r="C480" s="31"/>
    </row>
    <row r="481" ht="17.7" spans="1:3">
      <c r="A481" s="20" t="s">
        <v>256</v>
      </c>
      <c r="B481" s="21"/>
      <c r="C481" s="22"/>
    </row>
    <row r="482" ht="16.95" spans="1:5">
      <c r="A482" s="23" t="str">
        <f>CONCATENATE("&lt;loc&gt;",B482,"&lt;/loc&gt;")</f>
        <v>&lt;loc&gt;https://eduardoherreraf.github.io/html-06_Etiquetas_de_texto.html&lt;/loc&gt;</v>
      </c>
      <c r="B482" s="24" t="str">
        <f>CONCATENATE($C$5,C482)</f>
        <v>https://eduardoherreraf.github.io/html-06_Etiquetas_de_texto.html</v>
      </c>
      <c r="C482" s="25" t="s">
        <v>349</v>
      </c>
      <c r="E482" s="26"/>
    </row>
    <row r="483" spans="1:5">
      <c r="A483" s="23" t="str">
        <f>CONCATENATE("&lt;lastmod&gt;",B483,"&lt;/lastmod&gt;")</f>
        <v>&lt;lastmod&gt;2025-05-20T09:25:57-05:00&lt;/lastmod&gt;</v>
      </c>
      <c r="B483" s="24" t="str">
        <f>$C$1</f>
        <v>2025-05-20T09:25:57-05:00</v>
      </c>
      <c r="C483" s="27"/>
      <c r="E483" s="26"/>
    </row>
    <row r="484" ht="16.95" spans="1:5">
      <c r="A484" s="23" t="str">
        <f>CONCATENATE("&lt;changefreq&gt;",B484,"&lt;/changefreq&gt;")</f>
        <v>&lt;changefreq&gt;yearly&lt;/changefreq&gt;</v>
      </c>
      <c r="B484" s="24" t="s">
        <v>258</v>
      </c>
      <c r="C484" s="27"/>
      <c r="E484" s="26"/>
    </row>
    <row r="485" ht="16.95" spans="1:3">
      <c r="A485" s="23" t="str">
        <f>CONCATENATE("&lt;priority&gt;",B485,"&lt;/priority&gt;")</f>
        <v>&lt;priority&gt;0.6&lt;/priority&gt;</v>
      </c>
      <c r="B485" s="24" t="str">
        <f>C485</f>
        <v>0.6</v>
      </c>
      <c r="C485" s="28" t="s">
        <v>272</v>
      </c>
    </row>
    <row r="486" ht="16.95" spans="1:3">
      <c r="A486" s="29" t="s">
        <v>259</v>
      </c>
      <c r="B486" s="30"/>
      <c r="C486" s="31"/>
    </row>
    <row r="487" ht="16.95" spans="1:3">
      <c r="A487" s="15" t="s">
        <v>350</v>
      </c>
      <c r="C487" s="33"/>
    </row>
    <row r="488" spans="3:3">
      <c r="C488" s="33"/>
    </row>
    <row r="489" spans="3:3">
      <c r="C489" s="33"/>
    </row>
    <row r="490" spans="3:3">
      <c r="C490" s="33"/>
    </row>
    <row r="491" spans="3:3">
      <c r="C491" s="33"/>
    </row>
    <row r="492" spans="3:3">
      <c r="C492" s="33"/>
    </row>
    <row r="493" spans="3:3">
      <c r="C493" s="33"/>
    </row>
    <row r="494" spans="3:3">
      <c r="C494" s="33"/>
    </row>
    <row r="495" spans="3:3">
      <c r="C495" s="33"/>
    </row>
    <row r="496" spans="3:3">
      <c r="C496" s="33"/>
    </row>
    <row r="497" spans="3:3">
      <c r="C497" s="33"/>
    </row>
    <row r="578" spans="5:5">
      <c r="E578" s="34"/>
    </row>
    <row r="579" spans="5:5">
      <c r="E579" s="34"/>
    </row>
    <row r="580" spans="5:5">
      <c r="E580" s="34"/>
    </row>
    <row r="581" spans="5:5">
      <c r="E581" s="34"/>
    </row>
    <row r="582" spans="5:5">
      <c r="E582" s="34"/>
    </row>
    <row r="583" spans="5:5">
      <c r="E583" s="34"/>
    </row>
    <row r="584" spans="5:5">
      <c r="E584" s="34"/>
    </row>
    <row r="585" spans="5:5">
      <c r="E585" s="34"/>
    </row>
    <row r="586" spans="5:5">
      <c r="E586" s="34"/>
    </row>
    <row r="587" spans="5:5">
      <c r="E587" s="34"/>
    </row>
    <row r="588" spans="5:5">
      <c r="E588" s="34"/>
    </row>
    <row r="589" spans="5:5">
      <c r="E589" s="34"/>
    </row>
    <row r="590" spans="5:5">
      <c r="E590" s="34"/>
    </row>
    <row r="591" spans="5:5">
      <c r="E591" s="34"/>
    </row>
    <row r="592" spans="5:5">
      <c r="E592" s="34"/>
    </row>
    <row r="593" spans="5:5">
      <c r="E593" s="34"/>
    </row>
    <row r="594" spans="5:5">
      <c r="E594" s="34"/>
    </row>
    <row r="595" spans="5:5">
      <c r="E595" s="34"/>
    </row>
    <row r="596" spans="5:5">
      <c r="E596" s="34"/>
    </row>
    <row r="597" spans="5:5">
      <c r="E597" s="34"/>
    </row>
    <row r="598" spans="5:5">
      <c r="E598" s="34"/>
    </row>
    <row r="599" spans="5:5">
      <c r="E599" s="34"/>
    </row>
    <row r="600" spans="5:5">
      <c r="E600" s="34"/>
    </row>
    <row r="601" spans="5:5">
      <c r="E601" s="34"/>
    </row>
    <row r="602" spans="5:5">
      <c r="E602" s="34"/>
    </row>
    <row r="603" spans="5:5">
      <c r="E603" s="34"/>
    </row>
    <row r="604" spans="5:5">
      <c r="E604" s="34"/>
    </row>
    <row r="605" spans="5:5">
      <c r="E605" s="34"/>
    </row>
    <row r="606" spans="5:5">
      <c r="E606" s="34"/>
    </row>
    <row r="607" spans="5:5">
      <c r="E607" s="34"/>
    </row>
    <row r="608" spans="5:5">
      <c r="E608" s="34"/>
    </row>
    <row r="609" spans="5:5">
      <c r="E609" s="34"/>
    </row>
    <row r="610" spans="5:5">
      <c r="E610" s="34"/>
    </row>
    <row r="611" spans="5:5">
      <c r="E611" s="34"/>
    </row>
    <row r="612" spans="5:5">
      <c r="E612" s="34"/>
    </row>
    <row r="613" spans="5:5">
      <c r="E613" s="34"/>
    </row>
    <row r="614" spans="5:5">
      <c r="E614" s="34"/>
    </row>
    <row r="615" spans="5:5">
      <c r="E615" s="34"/>
    </row>
    <row r="616" spans="5:5">
      <c r="E616" s="34"/>
    </row>
    <row r="617" spans="5:5">
      <c r="E617" s="34"/>
    </row>
    <row r="618" spans="5:5">
      <c r="E618" s="34"/>
    </row>
    <row r="619" spans="5:5">
      <c r="E619" s="34"/>
    </row>
    <row r="620" spans="5:5">
      <c r="E620" s="34"/>
    </row>
    <row r="621" spans="5:5">
      <c r="E621" s="34"/>
    </row>
    <row r="622" spans="5:5">
      <c r="E622" s="34"/>
    </row>
    <row r="623" spans="5:5">
      <c r="E623" s="34"/>
    </row>
    <row r="624" spans="5:5">
      <c r="E624" s="34"/>
    </row>
    <row r="625" spans="5:5">
      <c r="E625" s="34"/>
    </row>
    <row r="626" spans="5:5">
      <c r="E626" s="34"/>
    </row>
    <row r="627" spans="5:5">
      <c r="E627" s="34"/>
    </row>
    <row r="628" spans="5:5">
      <c r="E628" s="34"/>
    </row>
    <row r="629" spans="5:5">
      <c r="E629" s="34"/>
    </row>
    <row r="630" spans="5:5">
      <c r="E630" s="34"/>
    </row>
    <row r="631" spans="5:5">
      <c r="E631" s="34"/>
    </row>
    <row r="632" spans="5:5">
      <c r="E632" s="34"/>
    </row>
    <row r="633" spans="5:5">
      <c r="E633" s="34"/>
    </row>
    <row r="634" spans="5:5">
      <c r="E634" s="34"/>
    </row>
    <row r="635" spans="5:5">
      <c r="E635" s="34"/>
    </row>
    <row r="636" spans="5:5">
      <c r="E636" s="34"/>
    </row>
    <row r="637" spans="5:5">
      <c r="E637" s="34"/>
    </row>
    <row r="638" spans="5:5">
      <c r="E638" s="34"/>
    </row>
    <row r="639" spans="5:5">
      <c r="E639" s="34"/>
    </row>
    <row r="640" spans="5:5">
      <c r="E640" s="34"/>
    </row>
    <row r="641" spans="5:5">
      <c r="E641" s="34"/>
    </row>
    <row r="642" spans="5:5">
      <c r="E642" s="34"/>
    </row>
    <row r="643" spans="5:5">
      <c r="E643" s="34"/>
    </row>
    <row r="644" spans="5:5">
      <c r="E644" s="34"/>
    </row>
    <row r="645" spans="5:5">
      <c r="E645" s="34"/>
    </row>
    <row r="646" spans="5:5">
      <c r="E646" s="34"/>
    </row>
    <row r="647" spans="5:5">
      <c r="E647" s="34"/>
    </row>
    <row r="648" spans="5:5">
      <c r="E648" s="33"/>
    </row>
    <row r="649" spans="5:5">
      <c r="E649" s="33"/>
    </row>
    <row r="650" spans="5:5">
      <c r="E650" s="33"/>
    </row>
    <row r="651" spans="5:5">
      <c r="E651" s="33"/>
    </row>
    <row r="652" spans="5:5">
      <c r="E652" s="33"/>
    </row>
    <row r="653" spans="5:5">
      <c r="E653" s="33"/>
    </row>
    <row r="654" spans="5:5">
      <c r="E654" s="33"/>
    </row>
    <row r="655" spans="5:5">
      <c r="E655" s="16"/>
    </row>
    <row r="656" spans="5:5">
      <c r="E656" s="16"/>
    </row>
    <row r="657" spans="5:5">
      <c r="E657" s="16"/>
    </row>
    <row r="658" spans="5:5">
      <c r="E658" s="16"/>
    </row>
    <row r="659" spans="5:5">
      <c r="E659" s="16"/>
    </row>
    <row r="660" spans="5:5">
      <c r="E660" s="16"/>
    </row>
    <row r="661" spans="5:5">
      <c r="E661" s="16"/>
    </row>
    <row r="662" spans="5:5">
      <c r="E662" s="16"/>
    </row>
    <row r="663" spans="5:5">
      <c r="E663" s="16"/>
    </row>
    <row r="664" spans="5:5">
      <c r="E664" s="16"/>
    </row>
    <row r="665" spans="5:5">
      <c r="E665" s="16"/>
    </row>
    <row r="666" spans="5:5">
      <c r="E666" s="16"/>
    </row>
    <row r="667" spans="5:5">
      <c r="E667" s="16"/>
    </row>
    <row r="668" spans="5:5">
      <c r="E668" s="16"/>
    </row>
    <row r="669" spans="5:5">
      <c r="E669" s="16"/>
    </row>
    <row r="670" spans="5:5">
      <c r="E670" s="16"/>
    </row>
    <row r="671" spans="5:5">
      <c r="E671" s="16"/>
    </row>
    <row r="672" spans="5:5">
      <c r="E672" s="16"/>
    </row>
    <row r="673" spans="5:5">
      <c r="E673" s="16"/>
    </row>
    <row r="674" spans="5:5">
      <c r="E674" s="16"/>
    </row>
    <row r="675" spans="5:5">
      <c r="E675" s="16"/>
    </row>
    <row r="676" spans="5:5">
      <c r="E676" s="16"/>
    </row>
    <row r="677" spans="5:5">
      <c r="E677" s="16"/>
    </row>
    <row r="678" spans="5:5">
      <c r="E678" s="16"/>
    </row>
    <row r="679" spans="5:5">
      <c r="E679" s="16"/>
    </row>
    <row r="680" spans="5:5">
      <c r="E680" s="16"/>
    </row>
    <row r="681" spans="5:5">
      <c r="E681" s="16"/>
    </row>
    <row r="682" spans="5:5">
      <c r="E682" s="16"/>
    </row>
    <row r="683" spans="5:5">
      <c r="E683" s="16"/>
    </row>
    <row r="684" spans="5:5">
      <c r="E684" s="16"/>
    </row>
    <row r="685" spans="5:5">
      <c r="E685" s="16"/>
    </row>
    <row r="686" spans="5:5">
      <c r="E686" s="16"/>
    </row>
    <row r="687" spans="5:5">
      <c r="E687" s="16"/>
    </row>
    <row r="688" spans="5:5">
      <c r="E688" s="16"/>
    </row>
    <row r="689" spans="5:5">
      <c r="E689" s="16"/>
    </row>
    <row r="690" spans="5:5">
      <c r="E690" s="16"/>
    </row>
    <row r="691" spans="5:5">
      <c r="E691" s="16"/>
    </row>
    <row r="692" spans="5:5">
      <c r="E692" s="16"/>
    </row>
    <row r="693" spans="5:5">
      <c r="E693" s="16"/>
    </row>
    <row r="694" spans="5:5">
      <c r="E694" s="16"/>
    </row>
    <row r="695" spans="5:5">
      <c r="E695" s="16"/>
    </row>
    <row r="696" spans="5:5">
      <c r="E696" s="16"/>
    </row>
    <row r="697" spans="5:5">
      <c r="E697" s="16"/>
    </row>
    <row r="698" spans="5:5">
      <c r="E698" s="16"/>
    </row>
    <row r="699" spans="5:5">
      <c r="E699" s="16"/>
    </row>
    <row r="700" spans="5:5">
      <c r="E700" s="16"/>
    </row>
    <row r="701" spans="5:5">
      <c r="E701" s="16"/>
    </row>
    <row r="702" spans="5:5">
      <c r="E702" s="16"/>
    </row>
    <row r="703" spans="5:5">
      <c r="E703" s="16"/>
    </row>
    <row r="704" spans="5:5">
      <c r="E704" s="16"/>
    </row>
    <row r="705" spans="5:5">
      <c r="E705" s="16"/>
    </row>
    <row r="706" spans="5:5">
      <c r="E706" s="16"/>
    </row>
    <row r="707" spans="5:5">
      <c r="E707" s="16"/>
    </row>
    <row r="708" spans="5:5">
      <c r="E708" s="16"/>
    </row>
    <row r="709" spans="5:5">
      <c r="E709" s="16"/>
    </row>
    <row r="710" spans="5:5">
      <c r="E710" s="16"/>
    </row>
    <row r="711" spans="5:5">
      <c r="E711" s="16"/>
    </row>
    <row r="712" spans="5:5">
      <c r="E712" s="16"/>
    </row>
    <row r="713" spans="5:5">
      <c r="E713" s="16"/>
    </row>
    <row r="714" spans="5:5">
      <c r="E714" s="16"/>
    </row>
    <row r="715" spans="5:5">
      <c r="E715" s="16"/>
    </row>
    <row r="716" spans="5:5">
      <c r="E716" s="16"/>
    </row>
    <row r="717" spans="5:5">
      <c r="E717" s="16"/>
    </row>
    <row r="718" spans="5:5">
      <c r="E718" s="16"/>
    </row>
    <row r="719" spans="5:5">
      <c r="E719" s="16"/>
    </row>
    <row r="720" spans="5:5">
      <c r="E720" s="16"/>
    </row>
    <row r="721" spans="5:5">
      <c r="E721" s="16"/>
    </row>
    <row r="722" spans="5:5">
      <c r="E722" s="16"/>
    </row>
    <row r="723" spans="5:5">
      <c r="E723" s="16"/>
    </row>
    <row r="724" spans="5:5">
      <c r="E724" s="16"/>
    </row>
    <row r="725" spans="5:5">
      <c r="E725" s="16"/>
    </row>
    <row r="726" spans="5:5">
      <c r="E726" s="16"/>
    </row>
    <row r="727" spans="5:5">
      <c r="E727" s="16"/>
    </row>
    <row r="728" spans="5:5">
      <c r="E728" s="16"/>
    </row>
    <row r="729" spans="5:5">
      <c r="E729" s="16"/>
    </row>
    <row r="730" spans="5:5">
      <c r="E730" s="16"/>
    </row>
    <row r="731" spans="5:5">
      <c r="E731" s="16"/>
    </row>
  </sheetData>
  <conditionalFormatting sqref="D1">
    <cfRule type="duplicateValues" dxfId="0" priority="260"/>
  </conditionalFormatting>
  <conditionalFormatting sqref="C42">
    <cfRule type="duplicateValues" dxfId="0" priority="15"/>
  </conditionalFormatting>
  <conditionalFormatting sqref="C48">
    <cfRule type="duplicateValues" dxfId="0" priority="14"/>
  </conditionalFormatting>
  <conditionalFormatting sqref="C54">
    <cfRule type="duplicateValues" dxfId="0" priority="8"/>
  </conditionalFormatting>
  <conditionalFormatting sqref="C61">
    <cfRule type="duplicateValues" dxfId="0" priority="13"/>
  </conditionalFormatting>
  <conditionalFormatting sqref="C67">
    <cfRule type="duplicateValues" dxfId="0" priority="12"/>
  </conditionalFormatting>
  <conditionalFormatting sqref="C220">
    <cfRule type="duplicateValues" dxfId="0" priority="6"/>
  </conditionalFormatting>
  <conditionalFormatting sqref="D220">
    <cfRule type="duplicateValues" dxfId="0" priority="7"/>
  </conditionalFormatting>
  <conditionalFormatting sqref="E220">
    <cfRule type="duplicateValues" dxfId="0" priority="5"/>
  </conditionalFormatting>
  <conditionalFormatting sqref="D456">
    <cfRule type="duplicateValues" dxfId="0" priority="33"/>
  </conditionalFormatting>
  <conditionalFormatting sqref="C458">
    <cfRule type="duplicateValues" dxfId="0" priority="18"/>
  </conditionalFormatting>
  <conditionalFormatting sqref="C470">
    <cfRule type="duplicateValues" dxfId="0" priority="17"/>
  </conditionalFormatting>
  <conditionalFormatting sqref="C476">
    <cfRule type="duplicateValues" dxfId="0" priority="16"/>
  </conditionalFormatting>
  <conditionalFormatting sqref="C482">
    <cfRule type="duplicateValues" dxfId="0" priority="1"/>
  </conditionalFormatting>
  <conditionalFormatting sqref="C463:C468">
    <cfRule type="duplicateValues" dxfId="0" priority="28"/>
  </conditionalFormatting>
  <conditionalFormatting sqref="D11:D16">
    <cfRule type="duplicateValues" dxfId="0" priority="184"/>
  </conditionalFormatting>
  <conditionalFormatting sqref="D17:D22">
    <cfRule type="duplicateValues" dxfId="0" priority="183"/>
  </conditionalFormatting>
  <conditionalFormatting sqref="D23:D28">
    <cfRule type="duplicateValues" dxfId="0" priority="182"/>
  </conditionalFormatting>
  <conditionalFormatting sqref="D29:D34">
    <cfRule type="duplicateValues" dxfId="0" priority="181"/>
  </conditionalFormatting>
  <conditionalFormatting sqref="D35:D40">
    <cfRule type="duplicateValues" dxfId="0" priority="180"/>
  </conditionalFormatting>
  <conditionalFormatting sqref="D41:D46">
    <cfRule type="duplicateValues" dxfId="0" priority="36"/>
  </conditionalFormatting>
  <conditionalFormatting sqref="D47:D52">
    <cfRule type="duplicateValues" dxfId="0" priority="179"/>
  </conditionalFormatting>
  <conditionalFormatting sqref="D53:D58">
    <cfRule type="duplicateValues" dxfId="0" priority="11"/>
  </conditionalFormatting>
  <conditionalFormatting sqref="D60:D65">
    <cfRule type="duplicateValues" dxfId="0" priority="172"/>
  </conditionalFormatting>
  <conditionalFormatting sqref="D66:D71">
    <cfRule type="duplicateValues" dxfId="0" priority="171"/>
  </conditionalFormatting>
  <conditionalFormatting sqref="D73:D78">
    <cfRule type="duplicateValues" dxfId="0" priority="168"/>
  </conditionalFormatting>
  <conditionalFormatting sqref="D79:D84">
    <cfRule type="duplicateValues" dxfId="0" priority="166"/>
  </conditionalFormatting>
  <conditionalFormatting sqref="D85:D90">
    <cfRule type="duplicateValues" dxfId="0" priority="167"/>
  </conditionalFormatting>
  <conditionalFormatting sqref="D91:D96">
    <cfRule type="duplicateValues" dxfId="0" priority="165"/>
  </conditionalFormatting>
  <conditionalFormatting sqref="D98:D103">
    <cfRule type="duplicateValues" dxfId="0" priority="156"/>
  </conditionalFormatting>
  <conditionalFormatting sqref="D104:D109">
    <cfRule type="duplicateValues" dxfId="0" priority="155"/>
  </conditionalFormatting>
  <conditionalFormatting sqref="D111:D116">
    <cfRule type="duplicateValues" dxfId="0" priority="152"/>
  </conditionalFormatting>
  <conditionalFormatting sqref="D117:D122">
    <cfRule type="duplicateValues" dxfId="0" priority="151"/>
  </conditionalFormatting>
  <conditionalFormatting sqref="D123:D128">
    <cfRule type="duplicateValues" dxfId="0" priority="150"/>
  </conditionalFormatting>
  <conditionalFormatting sqref="D129:D134">
    <cfRule type="duplicateValues" dxfId="0" priority="149"/>
  </conditionalFormatting>
  <conditionalFormatting sqref="D135:D140">
    <cfRule type="duplicateValues" dxfId="0" priority="148"/>
  </conditionalFormatting>
  <conditionalFormatting sqref="D141:D146">
    <cfRule type="duplicateValues" dxfId="0" priority="147"/>
  </conditionalFormatting>
  <conditionalFormatting sqref="D147:D152">
    <cfRule type="duplicateValues" dxfId="0" priority="146"/>
  </conditionalFormatting>
  <conditionalFormatting sqref="D153:D158">
    <cfRule type="duplicateValues" dxfId="0" priority="145"/>
  </conditionalFormatting>
  <conditionalFormatting sqref="D159:D164">
    <cfRule type="duplicateValues" dxfId="0" priority="144"/>
  </conditionalFormatting>
  <conditionalFormatting sqref="D165:D170">
    <cfRule type="duplicateValues" dxfId="0" priority="143"/>
  </conditionalFormatting>
  <conditionalFormatting sqref="D171:D176">
    <cfRule type="duplicateValues" dxfId="0" priority="142"/>
  </conditionalFormatting>
  <conditionalFormatting sqref="D177:D182">
    <cfRule type="duplicateValues" dxfId="0" priority="141"/>
  </conditionalFormatting>
  <conditionalFormatting sqref="D183:D188">
    <cfRule type="duplicateValues" dxfId="0" priority="140"/>
  </conditionalFormatting>
  <conditionalFormatting sqref="D189:D194">
    <cfRule type="duplicateValues" dxfId="0" priority="139"/>
  </conditionalFormatting>
  <conditionalFormatting sqref="D195:D200">
    <cfRule type="duplicateValues" dxfId="0" priority="138"/>
  </conditionalFormatting>
  <conditionalFormatting sqref="D201:D206">
    <cfRule type="duplicateValues" dxfId="0" priority="137"/>
  </conditionalFormatting>
  <conditionalFormatting sqref="D208:D213">
    <cfRule type="duplicateValues" dxfId="0" priority="120"/>
  </conditionalFormatting>
  <conditionalFormatting sqref="D214:D219">
    <cfRule type="duplicateValues" dxfId="0" priority="119"/>
  </conditionalFormatting>
  <conditionalFormatting sqref="D222:D227">
    <cfRule type="duplicateValues" dxfId="0" priority="116"/>
  </conditionalFormatting>
  <conditionalFormatting sqref="D228:D233">
    <cfRule type="duplicateValues" dxfId="0" priority="115"/>
  </conditionalFormatting>
  <conditionalFormatting sqref="D234:D239">
    <cfRule type="duplicateValues" dxfId="0" priority="114"/>
  </conditionalFormatting>
  <conditionalFormatting sqref="D240:D245">
    <cfRule type="duplicateValues" dxfId="0" priority="113"/>
  </conditionalFormatting>
  <conditionalFormatting sqref="D246:D251">
    <cfRule type="duplicateValues" dxfId="0" priority="112"/>
  </conditionalFormatting>
  <conditionalFormatting sqref="D252:D257">
    <cfRule type="duplicateValues" dxfId="0" priority="111"/>
  </conditionalFormatting>
  <conditionalFormatting sqref="D258:D263">
    <cfRule type="duplicateValues" dxfId="0" priority="110"/>
  </conditionalFormatting>
  <conditionalFormatting sqref="D264:D269">
    <cfRule type="duplicateValues" dxfId="0" priority="109"/>
  </conditionalFormatting>
  <conditionalFormatting sqref="D270:D275">
    <cfRule type="duplicateValues" dxfId="0" priority="108"/>
  </conditionalFormatting>
  <conditionalFormatting sqref="D276:D281">
    <cfRule type="duplicateValues" dxfId="0" priority="107"/>
  </conditionalFormatting>
  <conditionalFormatting sqref="D282:D287">
    <cfRule type="duplicateValues" dxfId="0" priority="106"/>
  </conditionalFormatting>
  <conditionalFormatting sqref="D288:D293">
    <cfRule type="duplicateValues" dxfId="0" priority="105"/>
  </conditionalFormatting>
  <conditionalFormatting sqref="D294:D299">
    <cfRule type="duplicateValues" dxfId="0" priority="104"/>
  </conditionalFormatting>
  <conditionalFormatting sqref="D300:D305">
    <cfRule type="duplicateValues" dxfId="0" priority="103"/>
  </conditionalFormatting>
  <conditionalFormatting sqref="D306:D311">
    <cfRule type="duplicateValues" dxfId="0" priority="102"/>
  </conditionalFormatting>
  <conditionalFormatting sqref="D312:D317">
    <cfRule type="duplicateValues" dxfId="0" priority="101"/>
  </conditionalFormatting>
  <conditionalFormatting sqref="D318:D323">
    <cfRule type="duplicateValues" dxfId="0" priority="100"/>
  </conditionalFormatting>
  <conditionalFormatting sqref="D324:D329">
    <cfRule type="duplicateValues" dxfId="0" priority="99"/>
  </conditionalFormatting>
  <conditionalFormatting sqref="D330:D335">
    <cfRule type="duplicateValues" dxfId="0" priority="98"/>
  </conditionalFormatting>
  <conditionalFormatting sqref="D336:D341">
    <cfRule type="duplicateValues" dxfId="0" priority="97"/>
  </conditionalFormatting>
  <conditionalFormatting sqref="D342:D347">
    <cfRule type="duplicateValues" dxfId="0" priority="96"/>
  </conditionalFormatting>
  <conditionalFormatting sqref="D348:D353">
    <cfRule type="duplicateValues" dxfId="0" priority="95"/>
  </conditionalFormatting>
  <conditionalFormatting sqref="D354:D359">
    <cfRule type="duplicateValues" dxfId="0" priority="94"/>
  </conditionalFormatting>
  <conditionalFormatting sqref="D360:D365">
    <cfRule type="duplicateValues" dxfId="0" priority="93"/>
  </conditionalFormatting>
  <conditionalFormatting sqref="D366:D371">
    <cfRule type="duplicateValues" dxfId="0" priority="92"/>
  </conditionalFormatting>
  <conditionalFormatting sqref="D372:D377">
    <cfRule type="duplicateValues" dxfId="0" priority="91"/>
  </conditionalFormatting>
  <conditionalFormatting sqref="D378:D383">
    <cfRule type="duplicateValues" dxfId="0" priority="90"/>
  </conditionalFormatting>
  <conditionalFormatting sqref="D384:D389">
    <cfRule type="duplicateValues" dxfId="0" priority="89"/>
  </conditionalFormatting>
  <conditionalFormatting sqref="D390:D395">
    <cfRule type="duplicateValues" dxfId="0" priority="88"/>
  </conditionalFormatting>
  <conditionalFormatting sqref="D396:D401">
    <cfRule type="duplicateValues" dxfId="0" priority="87"/>
  </conditionalFormatting>
  <conditionalFormatting sqref="D402:D407">
    <cfRule type="duplicateValues" dxfId="0" priority="86"/>
  </conditionalFormatting>
  <conditionalFormatting sqref="D408:D413">
    <cfRule type="duplicateValues" dxfId="0" priority="85"/>
  </conditionalFormatting>
  <conditionalFormatting sqref="D414:D419">
    <cfRule type="duplicateValues" dxfId="0" priority="84"/>
  </conditionalFormatting>
  <conditionalFormatting sqref="D420:D425">
    <cfRule type="duplicateValues" dxfId="0" priority="83"/>
  </conditionalFormatting>
  <conditionalFormatting sqref="D426:D431">
    <cfRule type="duplicateValues" dxfId="0" priority="82"/>
  </conditionalFormatting>
  <conditionalFormatting sqref="D432:D437">
    <cfRule type="duplicateValues" dxfId="0" priority="81"/>
  </conditionalFormatting>
  <conditionalFormatting sqref="D438:D443">
    <cfRule type="duplicateValues" dxfId="0" priority="80"/>
  </conditionalFormatting>
  <conditionalFormatting sqref="D444:D449">
    <cfRule type="duplicateValues" dxfId="0" priority="79"/>
  </conditionalFormatting>
  <conditionalFormatting sqref="D457:D462">
    <cfRule type="duplicateValues" dxfId="0" priority="32"/>
  </conditionalFormatting>
  <conditionalFormatting sqref="D463:D468">
    <cfRule type="duplicateValues" dxfId="0" priority="29"/>
  </conditionalFormatting>
  <conditionalFormatting sqref="D469:D474">
    <cfRule type="duplicateValues" dxfId="0" priority="26"/>
  </conditionalFormatting>
  <conditionalFormatting sqref="D475:D480">
    <cfRule type="duplicateValues" dxfId="0" priority="23"/>
  </conditionalFormatting>
  <conditionalFormatting sqref="D481:D486">
    <cfRule type="duplicateValues" dxfId="0" priority="4"/>
  </conditionalFormatting>
  <conditionalFormatting sqref="E41:E46">
    <cfRule type="duplicateValues" dxfId="0" priority="34"/>
  </conditionalFormatting>
  <conditionalFormatting sqref="E53:E58">
    <cfRule type="duplicateValues" dxfId="0" priority="9"/>
  </conditionalFormatting>
  <conditionalFormatting sqref="E456:E462">
    <cfRule type="duplicateValues" dxfId="0" priority="30"/>
  </conditionalFormatting>
  <conditionalFormatting sqref="E463:E468">
    <cfRule type="duplicateValues" dxfId="0" priority="27"/>
  </conditionalFormatting>
  <conditionalFormatting sqref="E469:E474">
    <cfRule type="duplicateValues" dxfId="0" priority="24"/>
  </conditionalFormatting>
  <conditionalFormatting sqref="E475:E480">
    <cfRule type="duplicateValues" dxfId="0" priority="21"/>
  </conditionalFormatting>
  <conditionalFormatting sqref="E481:E486">
    <cfRule type="duplicateValues" dxfId="0" priority="2"/>
  </conditionalFormatting>
  <conditionalFormatting sqref="C1:C40;C47;C49:C52;C59:C60;C62:C66;C68:C219;C221:C455;C487:C1048576">
    <cfRule type="duplicateValues" dxfId="0" priority="38"/>
  </conditionalFormatting>
  <conditionalFormatting sqref="E1:E40;E47:E52;E59:E219;E221:E455;E487:E1048576">
    <cfRule type="duplicateValues" dxfId="0" priority="37"/>
  </conditionalFormatting>
  <conditionalFormatting sqref="D2:D10;D59;D207;D97;D72;D110;D450:D455;D221;D487:D1048576">
    <cfRule type="duplicateValues" dxfId="0" priority="262"/>
  </conditionalFormatting>
  <conditionalFormatting sqref="C41;C43:C46">
    <cfRule type="duplicateValues" dxfId="0" priority="35"/>
  </conditionalFormatting>
  <conditionalFormatting sqref="C53;C55:C58">
    <cfRule type="duplicateValues" dxfId="0" priority="10"/>
  </conditionalFormatting>
  <conditionalFormatting sqref="C456:C457;C459:C462">
    <cfRule type="duplicateValues" dxfId="0" priority="31"/>
  </conditionalFormatting>
  <conditionalFormatting sqref="C469;C471:C474">
    <cfRule type="duplicateValues" dxfId="0" priority="25"/>
  </conditionalFormatting>
  <conditionalFormatting sqref="C475;C477:C480">
    <cfRule type="duplicateValues" dxfId="0" priority="22"/>
  </conditionalFormatting>
  <conditionalFormatting sqref="C481;C483:C486">
    <cfRule type="duplicateValues" dxfId="0" priority="3"/>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23"/>
  <sheetViews>
    <sheetView workbookViewId="0">
      <selection activeCell="B4" sqref="B4:B15"/>
    </sheetView>
  </sheetViews>
  <sheetFormatPr defaultColWidth="9" defaultRowHeight="15" outlineLevelCol="3"/>
  <cols>
    <col min="1" max="1" width="64.625" style="11" customWidth="1"/>
    <col min="2" max="2" width="74" style="11" customWidth="1"/>
    <col min="3" max="16384" width="9" style="11"/>
  </cols>
  <sheetData>
    <row r="2" spans="1:4">
      <c r="A2" s="11" t="s">
        <v>351</v>
      </c>
      <c r="B2" s="11" t="s">
        <v>352</v>
      </c>
      <c r="D2" s="11" t="s">
        <v>353</v>
      </c>
    </row>
    <row r="4" spans="1:4">
      <c r="A4" s="12"/>
      <c r="B4" s="11" t="s">
        <v>101</v>
      </c>
      <c r="D4" s="11" t="s">
        <v>354</v>
      </c>
    </row>
    <row r="5" spans="1:4">
      <c r="A5" s="13" t="s">
        <v>355</v>
      </c>
      <c r="B5" s="11" t="s">
        <v>102</v>
      </c>
      <c r="D5" s="11" t="s">
        <v>356</v>
      </c>
    </row>
    <row r="6" spans="1:4">
      <c r="A6" s="13" t="s">
        <v>357</v>
      </c>
      <c r="B6" s="11" t="s">
        <v>103</v>
      </c>
      <c r="D6" s="11" t="s">
        <v>358</v>
      </c>
    </row>
    <row r="7" spans="1:4">
      <c r="A7" s="13"/>
      <c r="B7" s="11" t="s">
        <v>359</v>
      </c>
      <c r="D7" s="11" t="s">
        <v>360</v>
      </c>
    </row>
    <row r="8" spans="1:4">
      <c r="A8" s="13" t="s">
        <v>361</v>
      </c>
      <c r="B8" s="11" t="s">
        <v>104</v>
      </c>
      <c r="D8" s="11" t="s">
        <v>362</v>
      </c>
    </row>
    <row r="9" spans="1:4">
      <c r="A9" s="13" t="s">
        <v>363</v>
      </c>
      <c r="B9" s="11" t="s">
        <v>105</v>
      </c>
      <c r="D9" s="11" t="s">
        <v>364</v>
      </c>
    </row>
    <row r="10" spans="1:4">
      <c r="A10" s="12"/>
      <c r="B10" s="11" t="s">
        <v>365</v>
      </c>
      <c r="D10" s="11" t="s">
        <v>366</v>
      </c>
    </row>
    <row r="11" spans="1:4">
      <c r="A11" s="12"/>
      <c r="B11" s="11" t="s">
        <v>367</v>
      </c>
      <c r="D11" s="11" t="s">
        <v>368</v>
      </c>
    </row>
    <row r="12" spans="1:4">
      <c r="A12" s="12"/>
      <c r="B12" s="11" t="s">
        <v>107</v>
      </c>
      <c r="D12" s="11" t="s">
        <v>369</v>
      </c>
    </row>
    <row r="13" spans="1:4">
      <c r="A13" s="12"/>
      <c r="B13" s="11" t="s">
        <v>370</v>
      </c>
      <c r="D13" s="11" t="s">
        <v>371</v>
      </c>
    </row>
    <row r="14" spans="1:4">
      <c r="A14" s="13"/>
      <c r="B14" s="11" t="s">
        <v>110</v>
      </c>
      <c r="D14" s="11" t="s">
        <v>372</v>
      </c>
    </row>
    <row r="15" spans="1:4">
      <c r="A15" s="13"/>
      <c r="B15" s="11" t="s">
        <v>112</v>
      </c>
      <c r="D15" s="11" t="s">
        <v>373</v>
      </c>
    </row>
    <row r="16" spans="1:4">
      <c r="A16" s="13"/>
      <c r="D16" s="11" t="s">
        <v>374</v>
      </c>
    </row>
    <row r="17" spans="1:4">
      <c r="A17" s="13"/>
      <c r="D17" s="11" t="s">
        <v>375</v>
      </c>
    </row>
    <row r="18" spans="1:4">
      <c r="A18" s="13"/>
      <c r="D18" s="11" t="s">
        <v>376</v>
      </c>
    </row>
    <row r="19" spans="4:4">
      <c r="D19" s="11" t="s">
        <v>377</v>
      </c>
    </row>
    <row r="20" spans="1:4">
      <c r="A20" s="14"/>
      <c r="D20" s="11" t="s">
        <v>378</v>
      </c>
    </row>
    <row r="21" spans="4:4">
      <c r="D21" s="11" t="s">
        <v>379</v>
      </c>
    </row>
    <row r="22" spans="4:4">
      <c r="D22" s="11" t="s">
        <v>380</v>
      </c>
    </row>
    <row r="23" spans="4:4">
      <c r="D23" s="11" t="s">
        <v>381</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F168"/>
  <sheetViews>
    <sheetView topLeftCell="A37" workbookViewId="0">
      <selection activeCell="A55" sqref="A55"/>
    </sheetView>
  </sheetViews>
  <sheetFormatPr defaultColWidth="8.225" defaultRowHeight="13.8" outlineLevelCol="5"/>
  <cols>
    <col min="1" max="1" width="84" style="1" customWidth="1"/>
    <col min="2" max="2" width="61.5833333333333" style="1" customWidth="1"/>
    <col min="3" max="3" width="8.225" style="1"/>
    <col min="4" max="4" width="55.675" style="1" customWidth="1"/>
    <col min="5" max="5" width="36.9" style="1" customWidth="1"/>
    <col min="6" max="16384" width="8.225" style="1"/>
  </cols>
  <sheetData>
    <row r="2" s="1" customFormat="1" ht="17.4" spans="1:6">
      <c r="A2" s="2" t="s">
        <v>382</v>
      </c>
      <c r="B2" s="3"/>
      <c r="D2" s="4" t="s">
        <v>383</v>
      </c>
      <c r="E2" s="4"/>
      <c r="F2" s="1" t="str">
        <f>""</f>
        <v/>
      </c>
    </row>
    <row r="3" s="1" customFormat="1" ht="17.4" spans="4:6">
      <c r="D3" s="5" t="s">
        <v>384</v>
      </c>
      <c r="E3" s="5" t="s">
        <v>385</v>
      </c>
      <c r="F3" s="1" t="str">
        <f>""</f>
        <v/>
      </c>
    </row>
    <row r="4" s="1" customFormat="1" ht="17.4" spans="1:6">
      <c r="A4" s="6" t="s">
        <v>386</v>
      </c>
      <c r="B4" s="7"/>
      <c r="D4" s="5" t="s">
        <v>387</v>
      </c>
      <c r="E4" s="5" t="s">
        <v>388</v>
      </c>
      <c r="F4" s="1" t="str">
        <f>""</f>
        <v/>
      </c>
    </row>
    <row r="5" s="1" customFormat="1" ht="17.4" spans="1:6">
      <c r="A5" s="7" t="s">
        <v>389</v>
      </c>
      <c r="B5" s="7" t="s">
        <v>389</v>
      </c>
      <c r="D5" s="5" t="s">
        <v>390</v>
      </c>
      <c r="E5" s="5" t="s">
        <v>391</v>
      </c>
      <c r="F5" s="1" t="str">
        <f>""</f>
        <v/>
      </c>
    </row>
    <row r="6" s="1" customFormat="1" ht="17.4" spans="1:5">
      <c r="A6" s="8" t="s">
        <v>392</v>
      </c>
      <c r="B6" s="7" t="s">
        <v>392</v>
      </c>
      <c r="D6" s="5"/>
      <c r="E6" s="5"/>
    </row>
    <row r="7" s="1" customFormat="1" ht="17.4" spans="1:5">
      <c r="A7" s="8" t="s">
        <v>7</v>
      </c>
      <c r="B7" s="7" t="s">
        <v>7</v>
      </c>
      <c r="D7" s="5"/>
      <c r="E7" s="5"/>
    </row>
    <row r="8" s="1" customFormat="1" ht="17.4" spans="1:5">
      <c r="A8" s="8" t="s">
        <v>393</v>
      </c>
      <c r="B8" s="7" t="s">
        <v>393</v>
      </c>
      <c r="D8" s="5"/>
      <c r="E8" s="5"/>
    </row>
    <row r="9" s="1" customFormat="1" ht="17.4" spans="1:5">
      <c r="A9" s="8"/>
      <c r="B9" s="7"/>
      <c r="D9" s="5"/>
      <c r="E9" s="5"/>
    </row>
    <row r="10" s="1" customFormat="1" ht="17.4" spans="1:5">
      <c r="A10" s="7"/>
      <c r="B10" s="7"/>
      <c r="D10" s="5"/>
      <c r="E10" s="5"/>
    </row>
    <row r="11" s="1" customFormat="1" ht="17.4" spans="1:5">
      <c r="A11" s="6" t="s">
        <v>394</v>
      </c>
      <c r="B11" s="7"/>
      <c r="D11" s="5"/>
      <c r="E11" s="5"/>
    </row>
    <row r="12" s="1" customFormat="1" ht="17.4" spans="1:5">
      <c r="A12" s="7"/>
      <c r="B12" s="7"/>
      <c r="D12" s="5"/>
      <c r="E12" s="5"/>
    </row>
    <row r="13" s="1" customFormat="1" ht="17.4" spans="1:5">
      <c r="A13" s="7" t="s">
        <v>395</v>
      </c>
      <c r="B13" s="7" t="s">
        <v>395</v>
      </c>
      <c r="D13" s="5"/>
      <c r="E13" s="5"/>
    </row>
    <row r="14" s="1" customFormat="1" ht="17.4" spans="1:5">
      <c r="A14" s="7" t="s">
        <v>396</v>
      </c>
      <c r="B14" s="7" t="s">
        <v>396</v>
      </c>
      <c r="D14" s="5"/>
      <c r="E14" s="5"/>
    </row>
    <row r="15" s="1" customFormat="1" ht="17.4" spans="1:5">
      <c r="A15" s="7" t="s">
        <v>397</v>
      </c>
      <c r="B15" s="7" t="s">
        <v>397</v>
      </c>
      <c r="D15" s="5"/>
      <c r="E15" s="5"/>
    </row>
    <row r="16" s="1" customFormat="1" ht="17.4" spans="1:5">
      <c r="A16" s="7" t="s">
        <v>398</v>
      </c>
      <c r="B16" s="7" t="s">
        <v>398</v>
      </c>
      <c r="D16" s="5"/>
      <c r="E16" s="5"/>
    </row>
    <row r="17" s="1" customFormat="1" ht="17.4" spans="1:5">
      <c r="A17" s="7" t="s">
        <v>54</v>
      </c>
      <c r="B17" s="7" t="s">
        <v>54</v>
      </c>
      <c r="D17" s="5"/>
      <c r="E17" s="5"/>
    </row>
    <row r="18" s="1" customFormat="1" ht="17.4" spans="1:5">
      <c r="A18" s="7"/>
      <c r="B18" s="7"/>
      <c r="D18" s="5"/>
      <c r="E18" s="5"/>
    </row>
    <row r="19" s="1" customFormat="1" ht="17.4" spans="1:5">
      <c r="A19" s="6" t="s">
        <v>399</v>
      </c>
      <c r="B19" s="6" t="s">
        <v>399</v>
      </c>
      <c r="D19" s="5"/>
      <c r="E19" s="5"/>
    </row>
    <row r="20" s="1" customFormat="1" ht="17.4" spans="1:5">
      <c r="A20" s="7" t="s">
        <v>400</v>
      </c>
      <c r="B20" s="7" t="s">
        <v>400</v>
      </c>
      <c r="D20" s="5"/>
      <c r="E20" s="5"/>
    </row>
    <row r="21" s="1" customFormat="1" ht="17.4" spans="1:5">
      <c r="A21" s="7" t="s">
        <v>401</v>
      </c>
      <c r="B21" s="7" t="s">
        <v>401</v>
      </c>
      <c r="D21" s="5"/>
      <c r="E21" s="5"/>
    </row>
    <row r="22" s="1" customFormat="1" ht="17.4" spans="1:5">
      <c r="A22" s="7" t="s">
        <v>402</v>
      </c>
      <c r="B22" s="7" t="s">
        <v>402</v>
      </c>
      <c r="D22" s="5"/>
      <c r="E22" s="5"/>
    </row>
    <row r="23" s="1" customFormat="1" ht="17.4" spans="1:5">
      <c r="A23" s="7" t="s">
        <v>403</v>
      </c>
      <c r="B23" s="7" t="s">
        <v>403</v>
      </c>
      <c r="D23" s="5"/>
      <c r="E23" s="5"/>
    </row>
    <row r="24" s="1" customFormat="1" ht="17.4" spans="1:5">
      <c r="A24" s="7" t="s">
        <v>404</v>
      </c>
      <c r="B24" s="7" t="s">
        <v>404</v>
      </c>
      <c r="D24" s="5"/>
      <c r="E24" s="5"/>
    </row>
    <row r="25" s="1" customFormat="1" ht="17.4" spans="1:5">
      <c r="A25" s="7" t="s">
        <v>405</v>
      </c>
      <c r="B25" s="7" t="s">
        <v>405</v>
      </c>
      <c r="D25" s="5"/>
      <c r="E25" s="5"/>
    </row>
    <row r="26" s="1" customFormat="1" ht="17.4" spans="1:5">
      <c r="A26" s="7" t="s">
        <v>406</v>
      </c>
      <c r="B26" s="7" t="s">
        <v>406</v>
      </c>
      <c r="D26" s="5"/>
      <c r="E26" s="5"/>
    </row>
    <row r="27" s="1" customFormat="1" ht="17.4" spans="1:5">
      <c r="A27" s="7" t="s">
        <v>407</v>
      </c>
      <c r="B27" s="7" t="s">
        <v>407</v>
      </c>
      <c r="D27" s="5"/>
      <c r="E27" s="5"/>
    </row>
    <row r="28" s="1" customFormat="1" ht="17.4" spans="4:5">
      <c r="D28" s="5"/>
      <c r="E28" s="5"/>
    </row>
    <row r="29" s="1" customFormat="1" ht="17.4" spans="1:5">
      <c r="A29" s="9" t="s">
        <v>408</v>
      </c>
      <c r="B29" s="9" t="s">
        <v>408</v>
      </c>
      <c r="D29" s="5"/>
      <c r="E29" s="5"/>
    </row>
    <row r="30" s="1" customFormat="1" ht="17.4" spans="1:5">
      <c r="A30" s="1" t="s">
        <v>90</v>
      </c>
      <c r="B30" s="1" t="s">
        <v>90</v>
      </c>
      <c r="D30" s="5"/>
      <c r="E30" s="5"/>
    </row>
    <row r="31" s="1" customFormat="1" ht="17.4" spans="1:5">
      <c r="A31" s="1" t="s">
        <v>409</v>
      </c>
      <c r="B31" s="1" t="s">
        <v>409</v>
      </c>
      <c r="D31" s="5"/>
      <c r="E31" s="5"/>
    </row>
    <row r="32" s="1" customFormat="1" ht="17.4" spans="4:5">
      <c r="D32" s="5"/>
      <c r="E32" s="5"/>
    </row>
    <row r="33" s="1" customFormat="1" ht="17.4" spans="1:5">
      <c r="A33" s="9" t="s">
        <v>410</v>
      </c>
      <c r="B33" s="9" t="s">
        <v>410</v>
      </c>
      <c r="D33" s="5"/>
      <c r="E33" s="5"/>
    </row>
    <row r="34" s="1" customFormat="1" ht="17.4" spans="1:5">
      <c r="A34" s="7" t="s">
        <v>411</v>
      </c>
      <c r="B34" s="7" t="s">
        <v>412</v>
      </c>
      <c r="D34" s="5"/>
      <c r="E34" s="5"/>
    </row>
    <row r="35" s="1" customFormat="1" spans="1:2">
      <c r="A35" s="7" t="s">
        <v>413</v>
      </c>
      <c r="B35" s="7" t="s">
        <v>414</v>
      </c>
    </row>
    <row r="36" s="1" customFormat="1" spans="1:2">
      <c r="A36" s="7" t="s">
        <v>415</v>
      </c>
      <c r="B36" s="7" t="s">
        <v>416</v>
      </c>
    </row>
    <row r="37" s="1" customFormat="1" spans="1:2">
      <c r="A37" s="7" t="s">
        <v>417</v>
      </c>
      <c r="B37" s="7" t="s">
        <v>418</v>
      </c>
    </row>
    <row r="39" s="1" customFormat="1" ht="17.4" spans="1:2">
      <c r="A39" s="9" t="s">
        <v>419</v>
      </c>
      <c r="B39" s="9" t="s">
        <v>419</v>
      </c>
    </row>
    <row r="40" s="1" customFormat="1" spans="1:2">
      <c r="A40" s="7" t="s">
        <v>420</v>
      </c>
      <c r="B40" s="7" t="s">
        <v>421</v>
      </c>
    </row>
    <row r="41" s="1" customFormat="1" spans="1:2">
      <c r="A41" s="7" t="s">
        <v>422</v>
      </c>
      <c r="B41" s="7" t="s">
        <v>423</v>
      </c>
    </row>
    <row r="42" s="1" customFormat="1" spans="1:2">
      <c r="A42" s="7" t="s">
        <v>424</v>
      </c>
      <c r="B42" s="7" t="s">
        <v>425</v>
      </c>
    </row>
    <row r="43" s="1" customFormat="1" spans="1:2">
      <c r="A43" s="7" t="s">
        <v>426</v>
      </c>
      <c r="B43" s="7" t="s">
        <v>427</v>
      </c>
    </row>
    <row r="44" s="1" customFormat="1" spans="1:2">
      <c r="A44" s="7" t="s">
        <v>428</v>
      </c>
      <c r="B44" s="7" t="s">
        <v>429</v>
      </c>
    </row>
    <row r="45" s="1" customFormat="1" spans="1:2">
      <c r="A45" s="7" t="s">
        <v>430</v>
      </c>
      <c r="B45" s="7" t="s">
        <v>431</v>
      </c>
    </row>
    <row r="46" s="1" customFormat="1" spans="1:4">
      <c r="A46" s="7" t="s">
        <v>432</v>
      </c>
      <c r="B46" s="7" t="s">
        <v>433</v>
      </c>
      <c r="D46" s="10"/>
    </row>
    <row r="47" s="1" customFormat="1" spans="1:4">
      <c r="A47" s="7" t="s">
        <v>434</v>
      </c>
      <c r="B47" s="7" t="s">
        <v>435</v>
      </c>
      <c r="D47" s="10"/>
    </row>
    <row r="48" s="1" customFormat="1" spans="1:4">
      <c r="A48" s="7" t="s">
        <v>436</v>
      </c>
      <c r="B48" s="7" t="s">
        <v>437</v>
      </c>
      <c r="D48" s="10"/>
    </row>
    <row r="49" s="1" customFormat="1" spans="1:4">
      <c r="A49" s="7" t="s">
        <v>438</v>
      </c>
      <c r="B49" s="7" t="s">
        <v>439</v>
      </c>
      <c r="D49" s="10"/>
    </row>
    <row r="50" s="1" customFormat="1" spans="1:2">
      <c r="A50" s="1" t="s">
        <v>440</v>
      </c>
      <c r="B50" s="1" t="s">
        <v>441</v>
      </c>
    </row>
    <row r="51" s="1" customFormat="1" ht="17.4" spans="1:4">
      <c r="A51" s="1" t="s">
        <v>442</v>
      </c>
      <c r="B51" s="1" t="s">
        <v>443</v>
      </c>
      <c r="D51" s="9"/>
    </row>
    <row r="52" s="1" customFormat="1" spans="1:2">
      <c r="A52" s="1" t="s">
        <v>444</v>
      </c>
      <c r="B52" s="1" t="s">
        <v>445</v>
      </c>
    </row>
    <row r="53" s="1" customFormat="1" spans="1:2">
      <c r="A53" s="1" t="s">
        <v>446</v>
      </c>
      <c r="B53" s="1" t="s">
        <v>447</v>
      </c>
    </row>
    <row r="54" s="1" customFormat="1" spans="1:2">
      <c r="A54" s="1" t="s">
        <v>448</v>
      </c>
      <c r="B54" s="1" t="s">
        <v>449</v>
      </c>
    </row>
    <row r="55" s="1" customFormat="1" spans="1:2">
      <c r="A55" s="1" t="s">
        <v>450</v>
      </c>
      <c r="B55" s="1" t="s">
        <v>451</v>
      </c>
    </row>
    <row r="56" s="1" customFormat="1" ht="17.4" spans="1:4">
      <c r="A56" s="1" t="s">
        <v>452</v>
      </c>
      <c r="B56" s="1" t="s">
        <v>453</v>
      </c>
      <c r="D56" s="9"/>
    </row>
    <row r="57" s="1" customFormat="1" spans="1:2">
      <c r="A57" s="1" t="s">
        <v>454</v>
      </c>
      <c r="B57" s="1" t="s">
        <v>455</v>
      </c>
    </row>
    <row r="60" s="1" customFormat="1" ht="17.4" spans="1:2">
      <c r="A60" s="9" t="s">
        <v>456</v>
      </c>
      <c r="B60" s="9" t="s">
        <v>456</v>
      </c>
    </row>
    <row r="62" s="1" customFormat="1" spans="1:2">
      <c r="A62" s="1" t="s">
        <v>208</v>
      </c>
      <c r="B62" s="1" t="s">
        <v>208</v>
      </c>
    </row>
    <row r="63" s="1" customFormat="1" spans="1:2">
      <c r="A63" s="1" t="s">
        <v>457</v>
      </c>
      <c r="B63" s="1" t="s">
        <v>457</v>
      </c>
    </row>
    <row r="64" s="1" customFormat="1" spans="1:2">
      <c r="A64" s="1" t="s">
        <v>458</v>
      </c>
      <c r="B64" s="1" t="s">
        <v>458</v>
      </c>
    </row>
    <row r="65" s="1" customFormat="1" ht="17.4" spans="1:4">
      <c r="A65" s="1" t="s">
        <v>459</v>
      </c>
      <c r="B65" s="1" t="s">
        <v>459</v>
      </c>
      <c r="D65" s="9"/>
    </row>
    <row r="66" s="1" customFormat="1" spans="1:2">
      <c r="A66" s="1" t="s">
        <v>460</v>
      </c>
      <c r="B66" s="1" t="s">
        <v>460</v>
      </c>
    </row>
    <row r="67" s="1" customFormat="1" spans="1:4">
      <c r="A67" s="1" t="s">
        <v>461</v>
      </c>
      <c r="B67" s="1" t="s">
        <v>461</v>
      </c>
      <c r="D67" s="10"/>
    </row>
    <row r="68" s="1" customFormat="1" spans="4:4">
      <c r="D68" s="10"/>
    </row>
    <row r="69" s="1" customFormat="1" ht="17.4" spans="1:4">
      <c r="A69" s="9" t="s">
        <v>462</v>
      </c>
      <c r="B69" s="9" t="s">
        <v>462</v>
      </c>
      <c r="D69" s="10"/>
    </row>
    <row r="71" s="1" customFormat="1" spans="1:2">
      <c r="A71" s="1" t="s">
        <v>463</v>
      </c>
      <c r="B71" s="1" t="s">
        <v>463</v>
      </c>
    </row>
    <row r="72" s="1" customFormat="1" spans="1:2">
      <c r="A72" s="1" t="s">
        <v>464</v>
      </c>
      <c r="B72" s="1" t="s">
        <v>464</v>
      </c>
    </row>
    <row r="73" s="1" customFormat="1" spans="1:1">
      <c r="A73" s="1" t="s">
        <v>465</v>
      </c>
    </row>
    <row r="74" s="1" customFormat="1" spans="1:1">
      <c r="A74" s="1" t="s">
        <v>466</v>
      </c>
    </row>
    <row r="75" s="1" customFormat="1" spans="4:4">
      <c r="D75" s="10"/>
    </row>
    <row r="76" s="1" customFormat="1" spans="4:4">
      <c r="D76" s="10"/>
    </row>
    <row r="77" s="1" customFormat="1" ht="17.4" spans="1:4">
      <c r="A77" s="9" t="s">
        <v>467</v>
      </c>
      <c r="B77" s="9" t="s">
        <v>467</v>
      </c>
      <c r="D77" s="10"/>
    </row>
    <row r="78" s="1" customFormat="1" spans="4:4">
      <c r="D78" s="10"/>
    </row>
    <row r="79" s="1" customFormat="1" spans="1:4">
      <c r="A79" s="10" t="s">
        <v>468</v>
      </c>
      <c r="B79" s="10" t="s">
        <v>468</v>
      </c>
      <c r="D79" s="10"/>
    </row>
    <row r="80" s="1" customFormat="1" spans="1:4">
      <c r="A80" s="10" t="s">
        <v>469</v>
      </c>
      <c r="B80" s="10" t="s">
        <v>469</v>
      </c>
      <c r="D80" s="10"/>
    </row>
    <row r="81" s="1" customFormat="1" spans="1:4">
      <c r="A81" s="10" t="s">
        <v>470</v>
      </c>
      <c r="B81" s="10" t="s">
        <v>470</v>
      </c>
      <c r="D81" s="10"/>
    </row>
    <row r="82" s="1" customFormat="1" spans="1:2">
      <c r="A82" s="10" t="s">
        <v>471</v>
      </c>
      <c r="B82" s="10" t="s">
        <v>471</v>
      </c>
    </row>
    <row r="83" s="1" customFormat="1" spans="1:2">
      <c r="A83" s="10" t="s">
        <v>472</v>
      </c>
      <c r="B83" s="10" t="s">
        <v>472</v>
      </c>
    </row>
    <row r="84" s="1" customFormat="1" spans="1:4">
      <c r="A84" s="10" t="s">
        <v>473</v>
      </c>
      <c r="B84" s="10" t="s">
        <v>473</v>
      </c>
      <c r="D84" s="10"/>
    </row>
    <row r="85" s="1" customFormat="1" ht="17.4" spans="1:4">
      <c r="A85" s="10" t="s">
        <v>474</v>
      </c>
      <c r="B85" s="10" t="s">
        <v>474</v>
      </c>
      <c r="D85" s="9"/>
    </row>
    <row r="86" s="1" customFormat="1" spans="1:2">
      <c r="A86" s="1" t="s">
        <v>475</v>
      </c>
      <c r="B86" s="1" t="s">
        <v>475</v>
      </c>
    </row>
    <row r="87" s="1" customFormat="1" spans="1:2">
      <c r="A87" s="1" t="s">
        <v>476</v>
      </c>
      <c r="B87" s="1" t="s">
        <v>476</v>
      </c>
    </row>
    <row r="88" s="1" customFormat="1" spans="2:2">
      <c r="B88" s="1" t="s">
        <v>102</v>
      </c>
    </row>
    <row r="89" s="1" customFormat="1" spans="1:1">
      <c r="A89" s="10"/>
    </row>
    <row r="90" s="1" customFormat="1" ht="17.4" spans="1:2">
      <c r="A90" s="9" t="s">
        <v>477</v>
      </c>
      <c r="B90" s="9" t="s">
        <v>477</v>
      </c>
    </row>
    <row r="92" s="1" customFormat="1" spans="1:2">
      <c r="A92" s="1" t="s">
        <v>478</v>
      </c>
      <c r="B92" s="1" t="s">
        <v>478</v>
      </c>
    </row>
    <row r="93" s="1" customFormat="1" spans="1:2">
      <c r="A93" s="1" t="s">
        <v>479</v>
      </c>
      <c r="B93" s="1" t="s">
        <v>479</v>
      </c>
    </row>
    <row r="94" s="1" customFormat="1" spans="1:2">
      <c r="A94" s="1" t="s">
        <v>480</v>
      </c>
      <c r="B94" s="1" t="s">
        <v>480</v>
      </c>
    </row>
    <row r="95" s="1" customFormat="1" spans="1:2">
      <c r="A95" s="1" t="s">
        <v>481</v>
      </c>
      <c r="B95" s="1" t="s">
        <v>481</v>
      </c>
    </row>
    <row r="96" s="1" customFormat="1" spans="1:2">
      <c r="A96" s="1" t="s">
        <v>482</v>
      </c>
      <c r="B96" s="1" t="s">
        <v>482</v>
      </c>
    </row>
    <row r="97" s="1" customFormat="1" spans="1:2">
      <c r="A97" s="1" t="s">
        <v>483</v>
      </c>
      <c r="B97" s="1" t="s">
        <v>483</v>
      </c>
    </row>
    <row r="98" s="1" customFormat="1" spans="1:2">
      <c r="A98" s="1" t="s">
        <v>484</v>
      </c>
      <c r="B98" s="1" t="s">
        <v>484</v>
      </c>
    </row>
    <row r="99" s="1" customFormat="1" spans="1:2">
      <c r="A99" s="1" t="s">
        <v>485</v>
      </c>
      <c r="B99" s="1" t="s">
        <v>485</v>
      </c>
    </row>
    <row r="100" s="1" customFormat="1" ht="17.4" spans="1:4">
      <c r="A100" s="1" t="s">
        <v>486</v>
      </c>
      <c r="B100" s="1" t="s">
        <v>486</v>
      </c>
      <c r="D100" s="9"/>
    </row>
    <row r="101" s="1" customFormat="1" spans="1:2">
      <c r="A101" s="1" t="s">
        <v>487</v>
      </c>
      <c r="B101" s="1" t="s">
        <v>487</v>
      </c>
    </row>
    <row r="102" s="1" customFormat="1" spans="1:1">
      <c r="A102" s="1" t="s">
        <v>488</v>
      </c>
    </row>
    <row r="103" s="1" customFormat="1" spans="1:1">
      <c r="A103" s="1" t="s">
        <v>489</v>
      </c>
    </row>
    <row r="105" s="1" customFormat="1" ht="17.4" spans="1:2">
      <c r="A105" s="9" t="s">
        <v>490</v>
      </c>
      <c r="B105" s="9" t="s">
        <v>490</v>
      </c>
    </row>
    <row r="107" s="1" customFormat="1" spans="1:2">
      <c r="A107" s="1" t="s">
        <v>491</v>
      </c>
      <c r="B107" s="1" t="s">
        <v>491</v>
      </c>
    </row>
    <row r="108" s="1" customFormat="1" spans="1:2">
      <c r="A108" s="1" t="s">
        <v>492</v>
      </c>
      <c r="B108" s="1" t="s">
        <v>492</v>
      </c>
    </row>
    <row r="109" s="1" customFormat="1" spans="1:2">
      <c r="A109" s="1" t="s">
        <v>493</v>
      </c>
      <c r="B109" s="1" t="s">
        <v>493</v>
      </c>
    </row>
    <row r="110" s="1" customFormat="1" spans="1:2">
      <c r="A110" s="1" t="s">
        <v>494</v>
      </c>
      <c r="B110" s="1" t="s">
        <v>494</v>
      </c>
    </row>
    <row r="111" s="1" customFormat="1" spans="1:2">
      <c r="A111" s="1" t="s">
        <v>495</v>
      </c>
      <c r="B111" s="1" t="s">
        <v>495</v>
      </c>
    </row>
    <row r="112" s="1" customFormat="1" spans="1:2">
      <c r="A112" s="1" t="s">
        <v>496</v>
      </c>
      <c r="B112" s="1" t="s">
        <v>496</v>
      </c>
    </row>
    <row r="113" s="1" customFormat="1" spans="1:2">
      <c r="A113" s="1" t="s">
        <v>497</v>
      </c>
      <c r="B113" s="1" t="s">
        <v>497</v>
      </c>
    </row>
    <row r="114" s="1" customFormat="1" spans="1:2">
      <c r="A114" s="1" t="s">
        <v>498</v>
      </c>
      <c r="B114" s="1" t="s">
        <v>498</v>
      </c>
    </row>
    <row r="115" s="1" customFormat="1" spans="1:2">
      <c r="A115" s="1" t="s">
        <v>499</v>
      </c>
      <c r="B115" s="1" t="s">
        <v>499</v>
      </c>
    </row>
    <row r="116" s="1" customFormat="1" spans="1:2">
      <c r="A116" s="1" t="s">
        <v>500</v>
      </c>
      <c r="B116" s="1" t="s">
        <v>500</v>
      </c>
    </row>
    <row r="117" s="1" customFormat="1" ht="17.4" spans="1:4">
      <c r="A117" s="1" t="s">
        <v>501</v>
      </c>
      <c r="B117" s="1" t="s">
        <v>501</v>
      </c>
      <c r="D117" s="9"/>
    </row>
    <row r="118" s="1" customFormat="1" spans="1:2">
      <c r="A118" s="1" t="s">
        <v>502</v>
      </c>
      <c r="B118" s="1" t="s">
        <v>502</v>
      </c>
    </row>
    <row r="119" s="1" customFormat="1" spans="1:2">
      <c r="A119" s="1" t="s">
        <v>503</v>
      </c>
      <c r="B119" s="1" t="s">
        <v>503</v>
      </c>
    </row>
    <row r="120" s="1" customFormat="1" spans="1:2">
      <c r="A120" s="1" t="s">
        <v>504</v>
      </c>
      <c r="B120" s="1" t="s">
        <v>504</v>
      </c>
    </row>
    <row r="122" s="1" customFormat="1" ht="17.4" spans="1:2">
      <c r="A122" s="9" t="s">
        <v>505</v>
      </c>
      <c r="B122" s="9" t="s">
        <v>505</v>
      </c>
    </row>
    <row r="124" s="1" customFormat="1" spans="1:2">
      <c r="A124" s="1" t="s">
        <v>506</v>
      </c>
      <c r="B124" s="1" t="s">
        <v>506</v>
      </c>
    </row>
    <row r="125" s="1" customFormat="1" ht="17.4" spans="1:4">
      <c r="A125" s="1" t="s">
        <v>507</v>
      </c>
      <c r="B125" s="1" t="s">
        <v>507</v>
      </c>
      <c r="D125" s="9"/>
    </row>
    <row r="126" s="1" customFormat="1" spans="1:2">
      <c r="A126" s="1" t="s">
        <v>508</v>
      </c>
      <c r="B126" s="1" t="s">
        <v>508</v>
      </c>
    </row>
    <row r="127" s="1" customFormat="1" spans="1:5">
      <c r="A127" s="1" t="s">
        <v>509</v>
      </c>
      <c r="B127" s="1" t="s">
        <v>509</v>
      </c>
      <c r="D127" s="10"/>
      <c r="E127" s="10"/>
    </row>
    <row r="128" s="1" customFormat="1" spans="1:5">
      <c r="A128" s="1" t="s">
        <v>510</v>
      </c>
      <c r="B128" s="1" t="s">
        <v>510</v>
      </c>
      <c r="D128" s="10"/>
      <c r="E128" s="10"/>
    </row>
    <row r="129" s="1" customFormat="1" spans="4:5">
      <c r="D129" s="10"/>
      <c r="E129" s="10"/>
    </row>
    <row r="130" s="1" customFormat="1" ht="17.4" spans="1:5">
      <c r="A130" s="9" t="s">
        <v>511</v>
      </c>
      <c r="B130" s="9" t="s">
        <v>511</v>
      </c>
      <c r="D130" s="10"/>
      <c r="E130" s="10"/>
    </row>
    <row r="131" s="1" customFormat="1" spans="4:4">
      <c r="D131" s="10"/>
    </row>
    <row r="132" s="1" customFormat="1" ht="17.4" spans="1:4">
      <c r="A132" s="10" t="s">
        <v>512</v>
      </c>
      <c r="B132" s="10" t="s">
        <v>512</v>
      </c>
      <c r="D132" s="9"/>
    </row>
    <row r="133" s="1" customFormat="1" spans="1:2">
      <c r="A133" s="10" t="s">
        <v>513</v>
      </c>
      <c r="B133" s="10" t="s">
        <v>513</v>
      </c>
    </row>
    <row r="134" s="1" customFormat="1" spans="1:2">
      <c r="A134" s="10" t="s">
        <v>514</v>
      </c>
      <c r="B134" s="10" t="s">
        <v>514</v>
      </c>
    </row>
    <row r="135" s="1" customFormat="1" spans="1:2">
      <c r="A135" s="10" t="s">
        <v>515</v>
      </c>
      <c r="B135" s="10" t="s">
        <v>515</v>
      </c>
    </row>
    <row r="136" s="1" customFormat="1" spans="1:1">
      <c r="A136" s="10"/>
    </row>
    <row r="137" s="1" customFormat="1" ht="17.4" spans="1:2">
      <c r="A137" s="9" t="s">
        <v>516</v>
      </c>
      <c r="B137" s="9" t="s">
        <v>516</v>
      </c>
    </row>
    <row r="139" s="1" customFormat="1" spans="1:2">
      <c r="A139" s="1" t="s">
        <v>517</v>
      </c>
      <c r="B139" s="1" t="s">
        <v>517</v>
      </c>
    </row>
    <row r="140" s="1" customFormat="1" spans="1:2">
      <c r="A140" s="1" t="s">
        <v>518</v>
      </c>
      <c r="B140" s="1" t="s">
        <v>518</v>
      </c>
    </row>
    <row r="141" s="1" customFormat="1" spans="1:2">
      <c r="A141" s="1" t="s">
        <v>519</v>
      </c>
      <c r="B141" s="1" t="s">
        <v>519</v>
      </c>
    </row>
    <row r="142" s="1" customFormat="1" spans="1:2">
      <c r="A142" s="1" t="s">
        <v>520</v>
      </c>
      <c r="B142" s="1" t="s">
        <v>520</v>
      </c>
    </row>
    <row r="143" s="1" customFormat="1" spans="1:2">
      <c r="A143" s="1" t="s">
        <v>512</v>
      </c>
      <c r="B143" s="1" t="s">
        <v>512</v>
      </c>
    </row>
    <row r="144" s="1" customFormat="1" spans="1:2">
      <c r="A144" s="1" t="s">
        <v>513</v>
      </c>
      <c r="B144" s="1" t="s">
        <v>513</v>
      </c>
    </row>
    <row r="145" s="1" customFormat="1" spans="1:2">
      <c r="A145" s="1" t="s">
        <v>514</v>
      </c>
      <c r="B145" s="1" t="s">
        <v>514</v>
      </c>
    </row>
    <row r="146" s="1" customFormat="1" spans="1:2">
      <c r="A146" s="1" t="s">
        <v>515</v>
      </c>
      <c r="B146" s="1" t="s">
        <v>515</v>
      </c>
    </row>
    <row r="147" s="1" customFormat="1" ht="17.4" spans="1:4">
      <c r="A147" s="1" t="s">
        <v>521</v>
      </c>
      <c r="B147" s="1" t="s">
        <v>521</v>
      </c>
      <c r="D147" s="9"/>
    </row>
    <row r="148" s="1" customFormat="1" spans="1:2">
      <c r="A148" s="1" t="s">
        <v>522</v>
      </c>
      <c r="B148" s="1" t="s">
        <v>522</v>
      </c>
    </row>
    <row r="149" s="1" customFormat="1" spans="1:2">
      <c r="A149" s="1" t="s">
        <v>523</v>
      </c>
      <c r="B149" s="1" t="s">
        <v>523</v>
      </c>
    </row>
    <row r="152" s="1" customFormat="1" ht="17.4" spans="1:2">
      <c r="A152" s="9" t="s">
        <v>524</v>
      </c>
      <c r="B152" s="9" t="s">
        <v>524</v>
      </c>
    </row>
    <row r="153" s="1" customFormat="1" spans="1:2">
      <c r="A153" s="1" t="s">
        <v>525</v>
      </c>
      <c r="B153" s="1" t="s">
        <v>525</v>
      </c>
    </row>
    <row r="154" s="1" customFormat="1" spans="1:2">
      <c r="A154" s="1" t="s">
        <v>526</v>
      </c>
      <c r="B154" s="1" t="s">
        <v>526</v>
      </c>
    </row>
    <row r="155" s="1" customFormat="1" spans="1:2">
      <c r="A155" s="1" t="s">
        <v>527</v>
      </c>
      <c r="B155" s="1" t="s">
        <v>527</v>
      </c>
    </row>
    <row r="156" s="1" customFormat="1" spans="1:2">
      <c r="A156" s="1" t="s">
        <v>528</v>
      </c>
      <c r="B156" s="1" t="s">
        <v>528</v>
      </c>
    </row>
    <row r="157" s="1" customFormat="1" spans="1:2">
      <c r="A157" s="1" t="s">
        <v>529</v>
      </c>
      <c r="B157" s="1" t="s">
        <v>529</v>
      </c>
    </row>
    <row r="158" s="1" customFormat="1" spans="1:2">
      <c r="A158" s="1" t="s">
        <v>530</v>
      </c>
      <c r="B158" s="1" t="s">
        <v>530</v>
      </c>
    </row>
    <row r="159" s="1" customFormat="1" spans="1:2">
      <c r="A159" s="1" t="s">
        <v>531</v>
      </c>
      <c r="B159" s="1" t="s">
        <v>531</v>
      </c>
    </row>
    <row r="160" s="1" customFormat="1" spans="1:2">
      <c r="A160" s="1" t="s">
        <v>532</v>
      </c>
      <c r="B160" s="1" t="s">
        <v>532</v>
      </c>
    </row>
    <row r="161" s="1" customFormat="1" spans="1:4">
      <c r="A161" s="1" t="s">
        <v>533</v>
      </c>
      <c r="B161" s="1" t="s">
        <v>533</v>
      </c>
      <c r="D161" s="10"/>
    </row>
    <row r="162" s="1" customFormat="1" spans="1:2">
      <c r="A162" s="1" t="s">
        <v>534</v>
      </c>
      <c r="B162" s="1" t="s">
        <v>534</v>
      </c>
    </row>
    <row r="163" s="1" customFormat="1" spans="1:2">
      <c r="A163" s="1" t="s">
        <v>535</v>
      </c>
      <c r="B163" s="1" t="s">
        <v>535</v>
      </c>
    </row>
    <row r="164" s="1" customFormat="1" spans="1:2">
      <c r="A164" s="1" t="s">
        <v>536</v>
      </c>
      <c r="B164" s="1" t="s">
        <v>536</v>
      </c>
    </row>
    <row r="165" s="1" customFormat="1" spans="1:2">
      <c r="A165" s="1" t="s">
        <v>537</v>
      </c>
      <c r="B165" s="1" t="s">
        <v>537</v>
      </c>
    </row>
    <row r="166" s="1" customFormat="1" spans="1:2">
      <c r="A166" s="10" t="s">
        <v>538</v>
      </c>
      <c r="B166" s="10" t="s">
        <v>538</v>
      </c>
    </row>
    <row r="167" s="1" customFormat="1" spans="1:2">
      <c r="A167" s="1" t="s">
        <v>539</v>
      </c>
      <c r="B167" s="1" t="s">
        <v>539</v>
      </c>
    </row>
    <row r="168" s="1" customFormat="1" spans="1:2">
      <c r="A168" s="1" t="s">
        <v>540</v>
      </c>
      <c r="B168" s="1" t="s">
        <v>540</v>
      </c>
    </row>
  </sheetData>
  <mergeCells count="1">
    <mergeCell ref="D2:E2"/>
  </mergeCells>
  <conditionalFormatting sqref="B19">
    <cfRule type="duplicateValues" dxfId="0" priority="89"/>
    <cfRule type="duplicateValues" dxfId="1" priority="88"/>
  </conditionalFormatting>
  <conditionalFormatting sqref="A29">
    <cfRule type="duplicateValues" dxfId="0" priority="45"/>
    <cfRule type="duplicateValues" dxfId="1" priority="44"/>
    <cfRule type="duplicateValues" dxfId="2" priority="43"/>
  </conditionalFormatting>
  <conditionalFormatting sqref="B29">
    <cfRule type="duplicateValues" dxfId="0" priority="79"/>
    <cfRule type="duplicateValues" dxfId="1" priority="78"/>
  </conditionalFormatting>
  <conditionalFormatting sqref="B33">
    <cfRule type="duplicateValues" dxfId="0" priority="86"/>
  </conditionalFormatting>
  <conditionalFormatting sqref="B34">
    <cfRule type="duplicateValues" dxfId="1" priority="54"/>
    <cfRule type="duplicateValues" dxfId="2" priority="53"/>
  </conditionalFormatting>
  <conditionalFormatting sqref="D34:E34">
    <cfRule type="duplicateValues" dxfId="1" priority="52"/>
  </conditionalFormatting>
  <conditionalFormatting sqref="B35">
    <cfRule type="duplicateValues" dxfId="1" priority="51"/>
    <cfRule type="duplicateValues" dxfId="2" priority="50"/>
  </conditionalFormatting>
  <conditionalFormatting sqref="B36">
    <cfRule type="duplicateValues" dxfId="1" priority="49"/>
    <cfRule type="duplicateValues" dxfId="2" priority="48"/>
  </conditionalFormatting>
  <conditionalFormatting sqref="B37">
    <cfRule type="duplicateValues" dxfId="1" priority="47"/>
    <cfRule type="duplicateValues" dxfId="2" priority="46"/>
  </conditionalFormatting>
  <conditionalFormatting sqref="A39">
    <cfRule type="duplicateValues" dxfId="0" priority="42"/>
    <cfRule type="duplicateValues" dxfId="1" priority="41"/>
    <cfRule type="duplicateValues" dxfId="2" priority="40"/>
  </conditionalFormatting>
  <conditionalFormatting sqref="B39">
    <cfRule type="duplicateValues" dxfId="0" priority="84"/>
  </conditionalFormatting>
  <conditionalFormatting sqref="A40">
    <cfRule type="duplicateValues" dxfId="0" priority="26"/>
  </conditionalFormatting>
  <conditionalFormatting sqref="B40">
    <cfRule type="duplicateValues" dxfId="1" priority="18"/>
    <cfRule type="duplicateValues" dxfId="2" priority="10"/>
  </conditionalFormatting>
  <conditionalFormatting sqref="A41">
    <cfRule type="duplicateValues" dxfId="0" priority="25"/>
  </conditionalFormatting>
  <conditionalFormatting sqref="B41">
    <cfRule type="duplicateValues" dxfId="1" priority="17"/>
    <cfRule type="duplicateValues" dxfId="2" priority="9"/>
  </conditionalFormatting>
  <conditionalFormatting sqref="A42">
    <cfRule type="duplicateValues" dxfId="0" priority="24"/>
  </conditionalFormatting>
  <conditionalFormatting sqref="B42">
    <cfRule type="duplicateValues" dxfId="1" priority="16"/>
    <cfRule type="duplicateValues" dxfId="2" priority="8"/>
  </conditionalFormatting>
  <conditionalFormatting sqref="A43">
    <cfRule type="duplicateValues" dxfId="0" priority="23"/>
  </conditionalFormatting>
  <conditionalFormatting sqref="B43">
    <cfRule type="duplicateValues" dxfId="1" priority="15"/>
    <cfRule type="duplicateValues" dxfId="2" priority="7"/>
  </conditionalFormatting>
  <conditionalFormatting sqref="A44">
    <cfRule type="duplicateValues" dxfId="0" priority="22"/>
  </conditionalFormatting>
  <conditionalFormatting sqref="B44">
    <cfRule type="duplicateValues" dxfId="1" priority="14"/>
    <cfRule type="duplicateValues" dxfId="2" priority="6"/>
  </conditionalFormatting>
  <conditionalFormatting sqref="A45">
    <cfRule type="duplicateValues" dxfId="0" priority="21"/>
  </conditionalFormatting>
  <conditionalFormatting sqref="B45">
    <cfRule type="duplicateValues" dxfId="1" priority="13"/>
    <cfRule type="duplicateValues" dxfId="2" priority="5"/>
  </conditionalFormatting>
  <conditionalFormatting sqref="A46">
    <cfRule type="duplicateValues" dxfId="0" priority="20"/>
  </conditionalFormatting>
  <conditionalFormatting sqref="B46">
    <cfRule type="duplicateValues" dxfId="1" priority="12"/>
    <cfRule type="duplicateValues" dxfId="2" priority="4"/>
  </conditionalFormatting>
  <conditionalFormatting sqref="A47">
    <cfRule type="duplicateValues" dxfId="0" priority="19"/>
  </conditionalFormatting>
  <conditionalFormatting sqref="B47">
    <cfRule type="duplicateValues" dxfId="1" priority="11"/>
    <cfRule type="duplicateValues" dxfId="2" priority="3"/>
  </conditionalFormatting>
  <conditionalFormatting sqref="D51">
    <cfRule type="duplicateValues" dxfId="0" priority="101"/>
  </conditionalFormatting>
  <conditionalFormatting sqref="D56">
    <cfRule type="duplicateValues" dxfId="0" priority="102"/>
  </conditionalFormatting>
  <conditionalFormatting sqref="A60">
    <cfRule type="duplicateValues" dxfId="0" priority="39"/>
    <cfRule type="duplicateValues" dxfId="1" priority="38"/>
    <cfRule type="duplicateValues" dxfId="2" priority="37"/>
  </conditionalFormatting>
  <conditionalFormatting sqref="B60">
    <cfRule type="duplicateValues" dxfId="0" priority="83"/>
  </conditionalFormatting>
  <conditionalFormatting sqref="A69">
    <cfRule type="duplicateValues" dxfId="0" priority="36"/>
    <cfRule type="duplicateValues" dxfId="1" priority="35"/>
    <cfRule type="duplicateValues" dxfId="2" priority="34"/>
  </conditionalFormatting>
  <conditionalFormatting sqref="B71">
    <cfRule type="duplicateValues" dxfId="1" priority="62"/>
    <cfRule type="duplicateValues" dxfId="2" priority="61"/>
  </conditionalFormatting>
  <conditionalFormatting sqref="D71">
    <cfRule type="duplicateValues" dxfId="1" priority="63"/>
  </conditionalFormatting>
  <conditionalFormatting sqref="B73">
    <cfRule type="duplicateValues" dxfId="1" priority="56"/>
    <cfRule type="duplicateValues" dxfId="2" priority="55"/>
  </conditionalFormatting>
  <conditionalFormatting sqref="D73">
    <cfRule type="duplicateValues" dxfId="1" priority="57"/>
  </conditionalFormatting>
  <conditionalFormatting sqref="B74">
    <cfRule type="duplicateValues" dxfId="1" priority="59"/>
    <cfRule type="duplicateValues" dxfId="2" priority="58"/>
  </conditionalFormatting>
  <conditionalFormatting sqref="D74">
    <cfRule type="duplicateValues" dxfId="1" priority="60"/>
  </conditionalFormatting>
  <conditionalFormatting sqref="A77">
    <cfRule type="duplicateValues" dxfId="0" priority="33"/>
    <cfRule type="duplicateValues" dxfId="1" priority="32"/>
  </conditionalFormatting>
  <conditionalFormatting sqref="D84">
    <cfRule type="duplicateValues" dxfId="0" priority="98"/>
  </conditionalFormatting>
  <conditionalFormatting sqref="D85">
    <cfRule type="duplicateValues" dxfId="0" priority="97"/>
  </conditionalFormatting>
  <conditionalFormatting sqref="B90">
    <cfRule type="duplicateValues" dxfId="0" priority="31"/>
  </conditionalFormatting>
  <conditionalFormatting sqref="D100">
    <cfRule type="duplicateValues" dxfId="0" priority="96"/>
  </conditionalFormatting>
  <conditionalFormatting sqref="B105">
    <cfRule type="duplicateValues" dxfId="0" priority="30"/>
  </conditionalFormatting>
  <conditionalFormatting sqref="D117">
    <cfRule type="duplicateValues" dxfId="0" priority="95"/>
  </conditionalFormatting>
  <conditionalFormatting sqref="B122">
    <cfRule type="duplicateValues" dxfId="0" priority="29"/>
  </conditionalFormatting>
  <conditionalFormatting sqref="D132">
    <cfRule type="duplicateValues" dxfId="0" priority="93"/>
  </conditionalFormatting>
  <conditionalFormatting sqref="B137">
    <cfRule type="duplicateValues" dxfId="0" priority="69"/>
  </conditionalFormatting>
  <conditionalFormatting sqref="D147">
    <cfRule type="duplicateValues" dxfId="0" priority="92"/>
  </conditionalFormatting>
  <conditionalFormatting sqref="B152">
    <cfRule type="duplicateValues" dxfId="0" priority="67"/>
  </conditionalFormatting>
  <conditionalFormatting sqref="D161">
    <cfRule type="duplicateValues" dxfId="0" priority="91"/>
  </conditionalFormatting>
  <conditionalFormatting sqref="B166">
    <cfRule type="duplicateValues" dxfId="0" priority="66"/>
  </conditionalFormatting>
  <conditionalFormatting sqref="A55:A57">
    <cfRule type="duplicateValues" dxfId="1" priority="28"/>
    <cfRule type="duplicateValues" dxfId="2" priority="27"/>
  </conditionalFormatting>
  <conditionalFormatting sqref="B13:B16">
    <cfRule type="duplicateValues" dxfId="1" priority="90"/>
  </conditionalFormatting>
  <conditionalFormatting sqref="B48:B49">
    <cfRule type="duplicateValues" dxfId="1" priority="2"/>
    <cfRule type="duplicateValues" dxfId="2" priority="1"/>
  </conditionalFormatting>
  <conditionalFormatting sqref="B69:B70">
    <cfRule type="duplicateValues" dxfId="0" priority="81"/>
    <cfRule type="duplicateValues" dxfId="1" priority="80"/>
  </conditionalFormatting>
  <conditionalFormatting sqref="B77:B85">
    <cfRule type="duplicateValues" dxfId="0" priority="76"/>
  </conditionalFormatting>
  <conditionalFormatting sqref="B77:B87">
    <cfRule type="duplicateValues" dxfId="1" priority="75"/>
  </conditionalFormatting>
  <conditionalFormatting sqref="B91:B101">
    <cfRule type="duplicateValues" dxfId="1" priority="74"/>
  </conditionalFormatting>
  <conditionalFormatting sqref="B106:B120">
    <cfRule type="duplicateValues" dxfId="1" priority="73"/>
  </conditionalFormatting>
  <conditionalFormatting sqref="B123:B129">
    <cfRule type="duplicateValues" dxfId="1" priority="71"/>
  </conditionalFormatting>
  <conditionalFormatting sqref="B130:B135">
    <cfRule type="duplicateValues" dxfId="0" priority="72"/>
  </conditionalFormatting>
  <conditionalFormatting sqref="B137:B149">
    <cfRule type="duplicateValues" dxfId="1" priority="70"/>
  </conditionalFormatting>
  <conditionalFormatting sqref="D65:D69">
    <cfRule type="duplicateValues" dxfId="0" priority="100"/>
  </conditionalFormatting>
  <conditionalFormatting sqref="D75:D81">
    <cfRule type="duplicateValues" dxfId="0" priority="99"/>
  </conditionalFormatting>
  <conditionalFormatting sqref="A1:A28;A30:A38;A78:A1048576;A70:A76;A48:A54;A58:A59;A61:A68">
    <cfRule type="duplicateValues" dxfId="0" priority="104"/>
  </conditionalFormatting>
  <conditionalFormatting sqref="B1:B33;B38:B39;B50:B70;B121;B136;B72;B75:B76;B88:B89;B102:B104;B150:B151;B169:B1048576">
    <cfRule type="duplicateValues" dxfId="2" priority="77"/>
  </conditionalFormatting>
  <conditionalFormatting sqref="D3:E4">
    <cfRule type="duplicateValues" dxfId="1" priority="65"/>
  </conditionalFormatting>
  <conditionalFormatting sqref="D5:E33">
    <cfRule type="duplicateValues" dxfId="1" priority="64"/>
  </conditionalFormatting>
  <conditionalFormatting sqref="B20:B28;B30:B31">
    <cfRule type="duplicateValues" dxfId="1" priority="87"/>
  </conditionalFormatting>
  <conditionalFormatting sqref="B33;B72;B54:B58">
    <cfRule type="duplicateValues" dxfId="1" priority="85"/>
  </conditionalFormatting>
  <conditionalFormatting sqref="D35:D70;D148:D160;D132:D146;D72;D75:D124">
    <cfRule type="duplicateValues" dxfId="1" priority="94"/>
  </conditionalFormatting>
  <conditionalFormatting sqref="B59:B67;B39;B50:B53">
    <cfRule type="duplicateValues" dxfId="1" priority="82"/>
  </conditionalFormatting>
  <conditionalFormatting sqref="D125:D131;D46:D49">
    <cfRule type="duplicateValues" dxfId="0" priority="103"/>
  </conditionalFormatting>
  <conditionalFormatting sqref="B167:B168;B153:B165">
    <cfRule type="duplicateValues" dxfId="1" priority="68"/>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index</vt:lpstr>
      <vt:lpstr>&lt;head&gt; Indice</vt:lpstr>
      <vt:lpstr>&lt;head&gt;</vt:lpstr>
      <vt:lpstr>&lt;main&gt;</vt:lpstr>
      <vt:lpstr>&lt;h3&gt;</vt:lpstr>
      <vt:lpstr>&lt;ul&gt;</vt:lpstr>
      <vt:lpstr>script</vt:lpstr>
      <vt:lpstr>sitemap.xml</vt:lpstr>
      <vt:lpstr>Plantillas</vt:lpstr>
      <vt:lpstr>Índice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Eduardo H. Forero</dc:creator>
  <cp:lastModifiedBy>PC</cp:lastModifiedBy>
  <dcterms:created xsi:type="dcterms:W3CDTF">2024-03-07T16:53:00Z</dcterms:created>
  <dcterms:modified xsi:type="dcterms:W3CDTF">2025-05-24T06:15:26Z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679F8D45FF024A13BA7FE566B66CF172_13</vt:lpwstr>
  </property>
  <property fmtid="{D5CDD505-2E9C-101B-9397-08002B2CF9AE}" pid="3" name="KSOProductBuildVer">
    <vt:lpwstr>3082-12.2.0.21179</vt:lpwstr>
  </property>
</Properties>
</file>